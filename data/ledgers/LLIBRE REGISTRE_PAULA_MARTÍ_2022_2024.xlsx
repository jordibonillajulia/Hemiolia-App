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defaultThemeVersion="124226"/>
  <mc:AlternateContent xmlns:mc="http://schemas.openxmlformats.org/markup-compatibility/2006">
    <mc:Choice Requires="x15">
      <x15ac:absPath xmlns:x15ac="http://schemas.microsoft.com/office/spreadsheetml/2010/11/ac" url="/Volumes/ARXIUS_2/jordibonilla/Documents Jordi Bonilla/PERSONAL/HEMIÒLIA/FACTURES/FACTURES PAULA/LLIBRE DE REGISTRE/"/>
    </mc:Choice>
  </mc:AlternateContent>
  <xr:revisionPtr revIDLastSave="0" documentId="13_ncr:1_{7C75667B-5478-D140-8208-CA29B85F4F94}" xr6:coauthVersionLast="47" xr6:coauthVersionMax="47" xr10:uidLastSave="{00000000-0000-0000-0000-000000000000}"/>
  <bookViews>
    <workbookView xWindow="5360" yWindow="500" windowWidth="32080" windowHeight="21140" xr2:uid="{00000000-000D-0000-FFFF-FFFF00000000}"/>
  </bookViews>
  <sheets>
    <sheet name="EXPEDIDAS_INGRESOS" sheetId="1" r:id="rId1"/>
    <sheet name="RECIBIDAS_GASTOS" sheetId="2" r:id="rId2"/>
    <sheet name="BIENES-INVERSIÓN" sheetId="5" r:id="rId3"/>
  </sheets>
  <definedNames>
    <definedName name="_xlnm.Print_Area" localSheetId="2">'BIENES-INVERSIÓN'!$T$1:$Z$24</definedName>
    <definedName name="_xlnm.Print_Area" localSheetId="0">EXPEDIDAS_INGRESOS!$I$1:$AD$40</definedName>
    <definedName name="_xlnm.Print_Area" localSheetId="1">RECIBIDAS_GASTOS!$I$1:$AJ$39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31" i="5" l="1"/>
  <c r="F32" i="5"/>
  <c r="F33" i="5"/>
  <c r="F24" i="5" l="1"/>
  <c r="F25" i="5"/>
  <c r="F29" i="5" l="1"/>
  <c r="F30" i="5"/>
  <c r="F33" i="1" l="1"/>
  <c r="F34" i="1" s="1"/>
  <c r="F35" i="1" s="1"/>
  <c r="F36" i="1" s="1"/>
  <c r="F37" i="1" s="1"/>
  <c r="F38" i="1" s="1"/>
  <c r="F39" i="1" s="1"/>
  <c r="F40" i="1" s="1"/>
  <c r="F41" i="1" s="1"/>
  <c r="F42" i="1" s="1"/>
  <c r="F43" i="1" s="1"/>
  <c r="F44" i="1" s="1"/>
  <c r="F45" i="1" s="1"/>
  <c r="F46" i="1" s="1"/>
  <c r="F47" i="1" l="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28" i="5"/>
  <c r="F27" i="5" l="1"/>
  <c r="F26" i="5" l="1"/>
  <c r="F16" i="5"/>
  <c r="F17" i="5"/>
  <c r="F18" i="5"/>
  <c r="F19" i="5"/>
  <c r="F20" i="5"/>
  <c r="F21" i="5"/>
  <c r="F22" i="5"/>
  <c r="F23" i="5"/>
  <c r="F15" i="5"/>
  <c r="F30" i="2" l="1"/>
  <c r="F31" i="2" s="1"/>
  <c r="F32" i="2" s="1"/>
  <c r="F33" i="2" s="1"/>
  <c r="F34" i="2" s="1"/>
  <c r="F35" i="2" s="1"/>
  <c r="F36" i="2" s="1"/>
  <c r="F37" i="2" s="1"/>
  <c r="F38" i="2" s="1"/>
  <c r="F39" i="2" s="1"/>
  <c r="F40" i="2" s="1"/>
  <c r="F41" i="2" s="1"/>
  <c r="F42" i="2" l="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alcChain>
</file>

<file path=xl/sharedStrings.xml><?xml version="1.0" encoding="utf-8"?>
<sst xmlns="http://schemas.openxmlformats.org/spreadsheetml/2006/main" count="670" uniqueCount="260">
  <si>
    <t>Base
Imponible</t>
  </si>
  <si>
    <t>Tipo
de IVA</t>
  </si>
  <si>
    <t>Total
Factura</t>
  </si>
  <si>
    <t>NIF: 99999999R</t>
  </si>
  <si>
    <t>NOMBRE O RAZÓN SOCIAL: español español, juan</t>
  </si>
  <si>
    <t>Nombre
Destinatario</t>
  </si>
  <si>
    <t>Cuota IVA
Repercutida</t>
  </si>
  <si>
    <t>Tipo de
Recargo Eq.</t>
  </si>
  <si>
    <t>Cuota
Recargo Eq.</t>
  </si>
  <si>
    <t>Cuota IVA
Soportado</t>
  </si>
  <si>
    <t>VALIDACIONES:</t>
  </si>
  <si>
    <t>Código País</t>
  </si>
  <si>
    <t>Alfanumérico (2)</t>
  </si>
  <si>
    <t>Alfanumérico (40)</t>
  </si>
  <si>
    <t>Identificación</t>
  </si>
  <si>
    <t>Alfanumérico (20)</t>
  </si>
  <si>
    <t>Fecha</t>
  </si>
  <si>
    <t>Importe</t>
  </si>
  <si>
    <t>Decimal(12,2)</t>
  </si>
  <si>
    <t>Medio Utilizado</t>
  </si>
  <si>
    <t>Alfanumérico (34)</t>
  </si>
  <si>
    <t>Tipo</t>
  </si>
  <si>
    <t>Fecha
Expedición</t>
  </si>
  <si>
    <t>Serie</t>
  </si>
  <si>
    <t>Número</t>
  </si>
  <si>
    <t>Identificación Factura del Expedidor</t>
  </si>
  <si>
    <t>Nombre
Expedidor</t>
  </si>
  <si>
    <t>Identificación de la Factura</t>
  </si>
  <si>
    <t>Decimal(4,2)</t>
  </si>
  <si>
    <t>- En los campos de tipo ALFANUMÉRICOS o de tipo texto el número dentro del paréntesis indica la longitud máxima del contenido del campo.</t>
  </si>
  <si>
    <t>Identificación Medio Utilizado</t>
  </si>
  <si>
    <t>Cuota Deducible</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</si>
  <si>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</si>
  <si>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</si>
  <si>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</si>
  <si>
    <t>(Serie-Número)</t>
  </si>
  <si>
    <t>Fecha(dd/mm/yyyy)</t>
  </si>
  <si>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</si>
  <si>
    <t>Número-Final</t>
  </si>
  <si>
    <t>Ejercicio</t>
  </si>
  <si>
    <t>Periodo</t>
  </si>
  <si>
    <t>Decimal (4,0)</t>
  </si>
  <si>
    <t>Alfanumérico (3)</t>
  </si>
  <si>
    <t>@ (Tipo de Libro Registro): U (Unificado de Facturas Emitidas -IVA- y de Ventas e Ingresos -IRPF-); E (Facturas Emitidas -IVA-); I (Ventas e Ingresos -IRPF-)</t>
  </si>
  <si>
    <t>@ (Tipo de Libro Registro): V (Unificado de Facturas Recibidas -IVA- y de Compras y Gastos -IRPF-); R (Facturas Recibidas -IVA-); G (Compras y Gastos -IRPF-)</t>
  </si>
  <si>
    <t>@ (Tipo de Libro Registro): W (Unificado de Bienes de Inversión del IVA y del IRPF); S (Bienes de Inversión del IVA); B (Bienes de Inversión del IRPF)</t>
  </si>
  <si>
    <t>Acumulada al Inicio</t>
  </si>
  <si>
    <t>Acumulada al final</t>
  </si>
  <si>
    <t>Fecha Inicio
Utilización</t>
  </si>
  <si>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</si>
  <si>
    <t>Baja del Bien</t>
  </si>
  <si>
    <t>- En "Causa" de la Baja del Bien se consignará uno de los siguientes valores:
     . 01: Amortización total
     . 02: Venta o transmisión
     . 03: Deterioro o destrucción
     . 04: Retirada del bien por obsolescencia
     . 05: Pérdida
     . 06: Robo
     . 99: Otras causas diferentes a las anteriores</t>
  </si>
  <si>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</si>
  <si>
    <r>
      <t>Autoliquidación</t>
    </r>
    <r>
      <rPr>
        <b/>
        <vertAlign val="superscript"/>
        <sz val="10"/>
        <rFont val="Arial"/>
        <family val="2"/>
      </rPr>
      <t>(1)</t>
    </r>
  </si>
  <si>
    <r>
      <t>Tipo de Bien</t>
    </r>
    <r>
      <rPr>
        <b/>
        <vertAlign val="superscript"/>
        <sz val="10"/>
        <rFont val="Arial"/>
        <family val="2"/>
      </rPr>
      <t>(2)</t>
    </r>
  </si>
  <si>
    <r>
      <t>NIF Expedidor</t>
    </r>
    <r>
      <rPr>
        <b/>
        <vertAlign val="superscript"/>
        <sz val="10"/>
        <rFont val="Arial"/>
        <family val="2"/>
      </rPr>
      <t>(3)</t>
    </r>
  </si>
  <si>
    <r>
      <t>Identificación de la Factura de Transmisión del Bien</t>
    </r>
    <r>
      <rPr>
        <b/>
        <vertAlign val="superscript"/>
        <sz val="10"/>
        <rFont val="Arial"/>
        <family val="2"/>
      </rPr>
      <t>(9)</t>
    </r>
  </si>
  <si>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</si>
  <si>
    <t>Decimal (4,2)</t>
  </si>
  <si>
    <t>- Se consignará la "Prorrata Definitiva" y la "Cuota deducible" correspondiente al ejercicio fiscal del año de la "Fecha Inicio Utilización".</t>
  </si>
  <si>
    <t>Base Imponible</t>
  </si>
  <si>
    <t>Tipo de IVA</t>
  </si>
  <si>
    <t>Año de Inicio Utilización</t>
  </si>
  <si>
    <t>Prorrata Definitiva</t>
  </si>
  <si>
    <t>Identificador</t>
  </si>
  <si>
    <t>Literal</t>
  </si>
  <si>
    <t>Alfanumérico (160)</t>
  </si>
  <si>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</si>
  <si>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</si>
  <si>
    <r>
      <t>Autoliquidación</t>
    </r>
    <r>
      <rPr>
        <b/>
        <vertAlign val="superscript"/>
        <sz val="10"/>
        <rFont val="Arial"/>
        <family val="2"/>
      </rPr>
      <t>(11)</t>
    </r>
  </si>
  <si>
    <r>
      <t>Tipo de Factura</t>
    </r>
    <r>
      <rPr>
        <b/>
        <vertAlign val="superscript"/>
        <sz val="10"/>
        <rFont val="Arial"/>
        <family val="2"/>
      </rPr>
      <t>(9)</t>
    </r>
  </si>
  <si>
    <r>
      <t>Fecha
Operación</t>
    </r>
    <r>
      <rPr>
        <b/>
        <vertAlign val="superscript"/>
        <sz val="10"/>
        <rFont val="Arial"/>
        <family val="2"/>
      </rPr>
      <t>(1)</t>
    </r>
  </si>
  <si>
    <r>
      <t>NIF Destinatario</t>
    </r>
    <r>
      <rPr>
        <b/>
        <vertAlign val="superscript"/>
        <sz val="10"/>
        <rFont val="Arial"/>
        <family val="2"/>
      </rPr>
      <t>(2)</t>
    </r>
  </si>
  <si>
    <r>
      <t>Autoliquidación</t>
    </r>
    <r>
      <rPr>
        <b/>
        <vertAlign val="superscript"/>
        <sz val="10"/>
        <rFont val="Arial"/>
        <family val="2"/>
      </rPr>
      <t>(12)</t>
    </r>
  </si>
  <si>
    <r>
      <t>Tipo de Factura</t>
    </r>
    <r>
      <rPr>
        <b/>
        <vertAlign val="superscript"/>
        <sz val="10"/>
        <rFont val="Arial"/>
        <family val="2"/>
      </rPr>
      <t>(10)</t>
    </r>
  </si>
  <si>
    <r>
      <t>NIF Expedidor</t>
    </r>
    <r>
      <rPr>
        <b/>
        <vertAlign val="superscript"/>
        <sz val="10"/>
        <rFont val="Arial"/>
        <family val="2"/>
      </rPr>
      <t>(2)</t>
    </r>
  </si>
  <si>
    <r>
      <t>Clave de
Operación</t>
    </r>
    <r>
      <rPr>
        <b/>
        <vertAlign val="superscript"/>
        <sz val="10"/>
        <rFont val="Arial"/>
        <family val="2"/>
      </rPr>
      <t>(7)</t>
    </r>
  </si>
  <si>
    <t>Cuota a Regularizar</t>
  </si>
  <si>
    <t>Cuota Resultante</t>
  </si>
  <si>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</si>
  <si>
    <t>Pendiente</t>
  </si>
  <si>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</si>
  <si>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</si>
  <si>
    <t>Alfanumérico (4)</t>
  </si>
  <si>
    <t>Alfanumérico (1)</t>
  </si>
  <si>
    <r>
      <t>Actividad</t>
    </r>
    <r>
      <rPr>
        <b/>
        <vertAlign val="superscript"/>
        <sz val="10"/>
        <rFont val="Arial"/>
        <family val="2"/>
      </rPr>
      <t>(16)</t>
    </r>
  </si>
  <si>
    <t>Grupo o Epígrafe del IAE</t>
  </si>
  <si>
    <r>
      <t>Actividad</t>
    </r>
    <r>
      <rPr>
        <b/>
        <vertAlign val="superscript"/>
        <sz val="10"/>
        <rFont val="Arial"/>
        <family val="2"/>
      </rPr>
      <t>(17)</t>
    </r>
  </si>
  <si>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</si>
  <si>
    <r>
      <t>Regularización Anual</t>
    </r>
    <r>
      <rPr>
        <b/>
        <vertAlign val="superscript"/>
        <sz val="10"/>
        <rFont val="Arial"/>
        <family val="2"/>
      </rPr>
      <t>(15)</t>
    </r>
  </si>
  <si>
    <r>
      <t>Prorrata Definitiva</t>
    </r>
    <r>
      <rPr>
        <b/>
        <vertAlign val="superscript"/>
        <sz val="11"/>
        <color theme="1"/>
        <rFont val="Arial"/>
        <family val="2"/>
      </rPr>
      <t>(14)</t>
    </r>
  </si>
  <si>
    <r>
      <t>Cuota Deducible</t>
    </r>
    <r>
      <rPr>
        <b/>
        <vertAlign val="superscript"/>
        <sz val="11"/>
        <color theme="1"/>
        <rFont val="Arial"/>
        <family val="2"/>
      </rPr>
      <t>(14)</t>
    </r>
  </si>
  <si>
    <r>
      <t>Fecha</t>
    </r>
    <r>
      <rPr>
        <b/>
        <vertAlign val="superscript"/>
        <sz val="11"/>
        <rFont val="Arial"/>
        <family val="2"/>
      </rPr>
      <t>(18)</t>
    </r>
  </si>
  <si>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</si>
  <si>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</si>
  <si>
    <r>
      <t>Pago</t>
    </r>
    <r>
      <rPr>
        <sz val="11"/>
        <rFont val="Calibri"/>
        <family val="2"/>
        <scheme val="minor"/>
      </rPr>
      <t xml:space="preserve"> (Operación Criterio de Caja de IVA y/o artículo 7.2.1º de Reglamento del IRPF)</t>
    </r>
  </si>
  <si>
    <r>
      <t>Cobro</t>
    </r>
    <r>
      <rPr>
        <sz val="11"/>
        <rFont val="Calibri"/>
        <family val="2"/>
        <scheme val="minor"/>
      </rPr>
      <t xml:space="preserve"> (Operación Criterio de Caja de IVA y/o artículo 7.2.1º de Reglamento del IRPF)</t>
    </r>
  </si>
  <si>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</si>
  <si>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</si>
  <si>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</si>
  <si>
    <t>Decimal(5,2)</t>
  </si>
  <si>
    <t>- Este campo se dejará sin contenido cuando el obligado tributario sea una persona jurídica, que no está obligada al IRPF.</t>
  </si>
  <si>
    <r>
      <t>Concepto de
Gasto</t>
    </r>
    <r>
      <rPr>
        <b/>
        <vertAlign val="superscript"/>
        <sz val="10"/>
        <rFont val="Arial"/>
        <family val="2"/>
      </rPr>
      <t>(11) (18)</t>
    </r>
  </si>
  <si>
    <r>
      <t>Gasto Deducible</t>
    </r>
    <r>
      <rPr>
        <b/>
        <vertAlign val="superscript"/>
        <sz val="10"/>
        <rFont val="Arial"/>
        <family val="2"/>
      </rPr>
      <t>(13) (18)</t>
    </r>
  </si>
  <si>
    <r>
      <t>Tipo Retención
del IRPF</t>
    </r>
    <r>
      <rPr>
        <b/>
        <vertAlign val="superscript"/>
        <sz val="10"/>
        <rFont val="Arial"/>
        <family val="2"/>
      </rPr>
      <t>(16) (18)</t>
    </r>
  </si>
  <si>
    <r>
      <t>Importe Retenido
del IRPF</t>
    </r>
    <r>
      <rPr>
        <b/>
        <vertAlign val="superscript"/>
        <sz val="10"/>
        <rFont val="Arial"/>
        <family val="2"/>
      </rPr>
      <t>(16) (18)</t>
    </r>
  </si>
  <si>
    <r>
      <t>Concepto de
Ingreso</t>
    </r>
    <r>
      <rPr>
        <b/>
        <vertAlign val="superscript"/>
        <sz val="10"/>
        <rFont val="Arial"/>
        <family val="2"/>
      </rPr>
      <t>(10) (17)</t>
    </r>
  </si>
  <si>
    <r>
      <t>Ingreso Computable</t>
    </r>
    <r>
      <rPr>
        <b/>
        <vertAlign val="superscript"/>
        <sz val="10"/>
        <rFont val="Arial"/>
        <family val="2"/>
      </rPr>
      <t>(13) (17)</t>
    </r>
  </si>
  <si>
    <r>
      <t>Tipo Retención
del IRPF</t>
    </r>
    <r>
      <rPr>
        <b/>
        <vertAlign val="superscript"/>
        <sz val="10"/>
        <rFont val="Arial"/>
        <family val="2"/>
      </rPr>
      <t>(15) (17)</t>
    </r>
  </si>
  <si>
    <r>
      <t>Importe Retenido
del IRPF</t>
    </r>
    <r>
      <rPr>
        <b/>
        <vertAlign val="superscript"/>
        <sz val="10"/>
        <rFont val="Arial"/>
        <family val="2"/>
      </rPr>
      <t>(15) (17)</t>
    </r>
  </si>
  <si>
    <t>SUPRIMIDA</t>
  </si>
  <si>
    <r>
      <t>Descripción del Bien</t>
    </r>
    <r>
      <rPr>
        <b/>
        <vertAlign val="superscript"/>
        <sz val="10"/>
        <rFont val="Arial"/>
        <family val="2"/>
      </rPr>
      <t>(16) (11)</t>
    </r>
  </si>
  <si>
    <r>
      <t>Valor Adquisición</t>
    </r>
    <r>
      <rPr>
        <b/>
        <vertAlign val="superscript"/>
        <sz val="10"/>
        <rFont val="Arial"/>
        <family val="2"/>
      </rPr>
      <t>(11)</t>
    </r>
  </si>
  <si>
    <r>
      <t>Valor
Amortizable</t>
    </r>
    <r>
      <rPr>
        <b/>
        <vertAlign val="superscript"/>
        <sz val="10"/>
        <rFont val="Arial"/>
        <family val="2"/>
      </rPr>
      <t>(11)</t>
    </r>
  </si>
  <si>
    <r>
      <t>Método de
Amortización</t>
    </r>
    <r>
      <rPr>
        <b/>
        <vertAlign val="superscript"/>
        <sz val="10"/>
        <rFont val="Arial"/>
        <family val="2"/>
      </rPr>
      <t>(4) (11)</t>
    </r>
  </si>
  <si>
    <r>
      <t>Porcentaje de
Amortización</t>
    </r>
    <r>
      <rPr>
        <b/>
        <vertAlign val="superscript"/>
        <sz val="10"/>
        <rFont val="Arial"/>
        <family val="2"/>
      </rPr>
      <t>(11)</t>
    </r>
  </si>
  <si>
    <r>
      <t>Amortización</t>
    </r>
    <r>
      <rPr>
        <b/>
        <vertAlign val="superscript"/>
        <sz val="11"/>
        <rFont val="Arial"/>
        <family val="2"/>
      </rPr>
      <t>(11)</t>
    </r>
  </si>
  <si>
    <r>
      <t>Número
Recepción</t>
    </r>
    <r>
      <rPr>
        <b/>
        <vertAlign val="superscript"/>
        <sz val="10"/>
        <rFont val="Arial"/>
        <family val="2"/>
      </rPr>
      <t>(11)</t>
    </r>
  </si>
  <si>
    <r>
      <t>Número
Recepción Final</t>
    </r>
    <r>
      <rPr>
        <b/>
        <vertAlign val="superscript"/>
        <sz val="10"/>
        <rFont val="Arial"/>
        <family val="2"/>
      </rPr>
      <t>(11)</t>
    </r>
  </si>
  <si>
    <r>
      <t>Causa</t>
    </r>
    <r>
      <rPr>
        <b/>
        <vertAlign val="superscript"/>
        <sz val="11"/>
        <rFont val="Arial"/>
        <family val="2"/>
      </rPr>
      <t>(8) (11)</t>
    </r>
  </si>
  <si>
    <t>IRPF</t>
  </si>
  <si>
    <t>IVA</t>
  </si>
  <si>
    <r>
      <t>Operación
Exenta</t>
    </r>
    <r>
      <rPr>
        <b/>
        <vertAlign val="superscript"/>
        <sz val="10"/>
        <rFont val="Arial"/>
        <family val="2"/>
      </rPr>
      <t>(20)</t>
    </r>
  </si>
  <si>
    <r>
      <t>Fecha
Recepción</t>
    </r>
    <r>
      <rPr>
        <b/>
        <vertAlign val="superscript"/>
        <sz val="10"/>
        <rFont val="Arial"/>
        <family val="2"/>
      </rPr>
      <t>(19)</t>
    </r>
  </si>
  <si>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</si>
  <si>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</si>
  <si>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</si>
  <si>
    <r>
      <t>Inversión del Sujeto Pasivo</t>
    </r>
    <r>
      <rPr>
        <b/>
        <vertAlign val="superscript"/>
        <sz val="10"/>
        <rFont val="Arial"/>
        <family val="2"/>
      </rPr>
      <t>(23)</t>
    </r>
  </si>
  <si>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</si>
  <si>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</si>
  <si>
    <r>
      <t>Registro Acuerdo Facturación</t>
    </r>
    <r>
      <rPr>
        <b/>
        <vertAlign val="superscript"/>
        <sz val="10"/>
        <rFont val="Arial"/>
        <family val="2"/>
      </rPr>
      <t>(18)</t>
    </r>
  </si>
  <si>
    <t>Alfanumérico (15)</t>
  </si>
  <si>
    <r>
      <t>Registro Acuerdo Facturación</t>
    </r>
    <r>
      <rPr>
        <b/>
        <vertAlign val="superscript"/>
        <sz val="10"/>
        <rFont val="Arial"/>
        <family val="2"/>
      </rPr>
      <t>(24)</t>
    </r>
  </si>
  <si>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</si>
  <si>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</si>
  <si>
    <t>IGIC/IPSI. CLAVE DE OPERACIÓN 08. 
Cuando se consigne la "Clave de Operación" 08 se validará que el campo "Calificación de la Operación" sólo puede contener el valor N2 (No sujeta por reglas de localización).</t>
  </si>
  <si>
    <t xml:space="preserve">FECHA DE EXPEDICIÓN. 
Cuando se consigne una "Clave de Operación" distinta de 14 y 15,  se validará que la Fecha expedición no sea anterior a la fecha de operación. </t>
  </si>
  <si>
    <t>INVERSIÓN DEL SUJETO PASIVO. S2. IDENTIFICACIÓN DEL DESTINATARIO. 
- Cuando en "Calificación de la Operación" se consigne el valor S2 el tipo de factura solo puede ser F1, F3, R1, R2, R3 y R4.</t>
  </si>
  <si>
    <t>FECHA DE EXPEDICIÓN. 
Se validará que la "Fecha de expedición" sea anterior a la fecha en la que se está incorporando el libro registro.</t>
  </si>
  <si>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</si>
  <si>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</si>
  <si>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</si>
  <si>
    <r>
      <t>Bien de Inversión</t>
    </r>
    <r>
      <rPr>
        <b/>
        <vertAlign val="superscript"/>
        <sz val="10"/>
        <rFont val="Arial"/>
        <family val="2"/>
      </rPr>
      <t>(20)</t>
    </r>
  </si>
  <si>
    <t>IGIC/IPSI. 
Si se consigna la Clave de Operación 08 se validará que:
 - El Campo “Inversión del Sujeto Pasivo" sea N 
 - La "Cuota Soportada" sea 0 (sólo puede estar cumplimentado el campo base imponible).
 - El campo Bien de Inversión sea "N".</t>
  </si>
  <si>
    <t>CAMPO "A DEDUCIR EN PERÍODO POSTERIOR". 
Si los campos "Ejercicio" de deducción y "Periodo de deducción" están cumplimentados se validará que el contenido del campo "Deducible en Periodo Posterior" sea “S”.</t>
  </si>
  <si>
    <r>
      <t>Deducible en Periodo Posterior</t>
    </r>
    <r>
      <rPr>
        <b/>
        <vertAlign val="superscript"/>
        <sz val="10"/>
        <rFont val="Arial"/>
        <family val="2"/>
      </rPr>
      <t>(21) (35)</t>
    </r>
  </si>
  <si>
    <r>
      <t>Periodo Deducción</t>
    </r>
    <r>
      <rPr>
        <b/>
        <vertAlign val="superscript"/>
        <sz val="10"/>
        <rFont val="Arial"/>
        <family val="2"/>
      </rPr>
      <t>(22) (34)</t>
    </r>
  </si>
  <si>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</si>
  <si>
    <r>
      <t>Cuota Deducible</t>
    </r>
    <r>
      <rPr>
        <b/>
        <vertAlign val="superscript"/>
        <sz val="10"/>
        <rFont val="Arial"/>
        <family val="2"/>
      </rPr>
      <t>(36)</t>
    </r>
  </si>
  <si>
    <t>REBU y REGIMEN ESPECIAL AGENCIAS DE VIAJES. CLAVES DE OPERACIÓN 03 y 05
Si la "Clave de Operación" es 03 ó 05, se validará que la “Cuota Deducible” sea 0.</t>
  </si>
  <si>
    <r>
      <t>Registro Acuerdo Facturación</t>
    </r>
    <r>
      <rPr>
        <b/>
        <vertAlign val="superscript"/>
        <sz val="10"/>
        <rFont val="Arial"/>
        <family val="2"/>
      </rPr>
      <t>(19)</t>
    </r>
  </si>
  <si>
    <r>
      <t>Fecha
Expedición</t>
    </r>
    <r>
      <rPr>
        <b/>
        <vertAlign val="superscript"/>
        <sz val="10"/>
        <rFont val="Arial"/>
        <family val="2"/>
      </rPr>
      <t>(25)</t>
    </r>
  </si>
  <si>
    <r>
      <t>Calificación de la Operación</t>
    </r>
    <r>
      <rPr>
        <b/>
        <vertAlign val="superscript"/>
        <sz val="10"/>
        <rFont val="Arial"/>
        <family val="2"/>
      </rPr>
      <t>(19) (21) (22) (23) (24) (30)</t>
    </r>
  </si>
  <si>
    <t>DUDOSO COBRO Y CONCURSO DE ACREEDORES. TIPO DE FACTURA R2 Y R3. 
Si el Tipo de Factura es R2 ó R3 se validará que la identificación del NIF del Destinatario sea exclusivamente un NIF. No obstante, si el Tipo de factura es R2 también se permitirá un NIF-IVA intracomunitario</t>
  </si>
  <si>
    <r>
      <t>Cuota Recargo Eq.</t>
    </r>
    <r>
      <rPr>
        <b/>
        <vertAlign val="superscript"/>
        <sz val="10"/>
        <rFont val="Arial"/>
        <family val="2"/>
      </rPr>
      <t>(35)</t>
    </r>
  </si>
  <si>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</si>
  <si>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</si>
  <si>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</si>
  <si>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</si>
  <si>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</si>
  <si>
    <t>Código</t>
  </si>
  <si>
    <r>
      <t>Número
Recepción</t>
    </r>
    <r>
      <rPr>
        <b/>
        <vertAlign val="superscript"/>
        <sz val="10"/>
        <rFont val="Arial"/>
        <family val="2"/>
      </rPr>
      <t>(37)</t>
    </r>
  </si>
  <si>
    <r>
      <t>Número
Recepción Final</t>
    </r>
    <r>
      <rPr>
        <b/>
        <vertAlign val="superscript"/>
        <sz val="10"/>
        <rFont val="Arial"/>
        <family val="2"/>
      </rPr>
      <t>(37)</t>
    </r>
  </si>
  <si>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</si>
  <si>
    <t>IDENTIFICACIÓN DEL DESTINATARIO.
En caso que Tipo de Factura tenga uno de los siguientes valores F1,  F3,  R1, R2, R3, R4  se validará que el NIF del Destinatario esté cumplimentado.</t>
  </si>
  <si>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</si>
  <si>
    <r>
      <t>Tipo
de IVA</t>
    </r>
    <r>
      <rPr>
        <b/>
        <vertAlign val="superscript"/>
        <sz val="10"/>
        <rFont val="Arial"/>
        <family val="2"/>
      </rPr>
      <t>(39)</t>
    </r>
  </si>
  <si>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</si>
  <si>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</si>
  <si>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</si>
  <si>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</si>
  <si>
    <t>ARRENDAMIENTO LOCAL DE NEGOCIOS. CLAVES 11,12,13. 
Cuando en el campo "Clave de Operación" se indique el régimen 11, 12 ó 13 únicamente se admitirá un Tipo de IVA del 21% tratándose de operaciones sujetas y no exentas sin inversión del sujeto pasivo (S1).</t>
  </si>
  <si>
    <r>
      <t>Total
Factura</t>
    </r>
    <r>
      <rPr>
        <b/>
        <vertAlign val="superscript"/>
        <sz val="10"/>
        <rFont val="Arial"/>
        <family val="2"/>
      </rPr>
      <t>(37)</t>
    </r>
  </si>
  <si>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</si>
  <si>
    <t>OPERACIÓN ACOGIDA A ALGUNO DE LOS REGÍMENES PREVISTOS EN EL CAPÍTULO XI DEL TÍTULO IX. CLAVE DE REGIMEN 17. 
Si el Ejercicio de la Autoliquidación es anterior a 2022 la Clave de Operación 17 sólo será válida si la Fecha de Operación es posterior al 30 de junio de 2021.</t>
  </si>
  <si>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</si>
  <si>
    <t>CLAVE DE OPERACIÓN 03 (Régimen Especial de Bienes Usados)
Cuando se consigne la "Clave de Operación" 03 se validará que el campo "Calificación de la Operación" sólo puede contener el valor S1 (Sujeta y No exenta).</t>
  </si>
  <si>
    <r>
      <t>Clave de Operación</t>
    </r>
    <r>
      <rPr>
        <b/>
        <vertAlign val="superscript"/>
        <sz val="10"/>
        <rFont val="Arial"/>
        <family val="2"/>
      </rPr>
      <t>(6)(23)</t>
    </r>
  </si>
  <si>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</si>
  <si>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</si>
  <si>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</si>
  <si>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</si>
  <si>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</si>
  <si>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</si>
  <si>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</si>
  <si>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</si>
  <si>
    <t>- Cuando se trate de una operación sin factura en la que:
       . No exista un documento sustitutivo justificante del pago con identificación del cobrador (por ejemplo, para el concepto de gasto "G02"),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</si>
  <si>
    <t>Situación</t>
  </si>
  <si>
    <t>Referencia Catastral</t>
  </si>
  <si>
    <r>
      <t>Inmueble</t>
    </r>
    <r>
      <rPr>
        <b/>
        <vertAlign val="superscript"/>
        <sz val="10"/>
        <rFont val="Arial"/>
        <family val="2"/>
      </rPr>
      <t>(40)</t>
    </r>
  </si>
  <si>
    <r>
      <t>Inmueble</t>
    </r>
    <r>
      <rPr>
        <b/>
        <vertAlign val="superscript"/>
        <sz val="10"/>
        <rFont val="Arial"/>
        <family val="2"/>
      </rPr>
      <t>(39)</t>
    </r>
  </si>
  <si>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</si>
  <si>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</si>
  <si>
    <t>Referencia Externa</t>
  </si>
  <si>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</si>
  <si>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</si>
  <si>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t>
  </si>
  <si>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</si>
  <si>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5 % sólo se admitirán como tipos de recargo el 0,5 % ó el 0,62 %.
- Si el Tipo de IVA es del 4 % sólo se admitirá como tipo de recargo el 0,5 %.
- Si el Tipo de IVA es del 0 % sólo se admitirá como tipo de recargo el 0 %.</t>
  </si>
  <si>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</si>
  <si>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</si>
  <si>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</si>
  <si>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</si>
  <si>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</si>
  <si>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</si>
  <si>
    <t>- En las operaciones sujetas y no exentas, se validará que en "Tipo de IVA" se consigne uno de los siguientes valores según el tipo (%) impositivo aplicable:
       . 21,00: General
       . 10,00: Reducido
       . 4,00: Superreducido
       . 5,00 :  Si (1-7-2022 ≤ Fecha de Operación ≤ 30-06-2024)
       . 0,00: Si (1-1-2023 ≤ Fecha de Operación ≤ 30-06-2024)
En  caso de que la Clave de Operación sea 02 en el campo Tipo de IVA se admiten los tipos 12% y 10,5% (compensación)</t>
  </si>
  <si>
    <t>- En las operaciones sujetas y no exentas sin inversión del sujeto pasivo (Calificación de la Operación = S1), se validará que en "Tipo de IVA" se consigne uno de los siguientes valores según el tipo (%) impositivo aplicable:
       . 21,00: General
       . 10,00: Reducido
       . 4,00: Superreducido
       . 5,00 : Si (1-7-2022 ≤ Fecha de Operación ≤ 30-06-2024)
       . 0,00: Si [(NIF del Destinatario empieza por R,G,Q,N o W) Y (1-4-2022 ≤ Fecha de Operación ≤ 31-12-2022)] O [1-1-2023 ≤ Fecha de Operación ≤ 30-06-2024]
En  caso de que la Clave de Operación sea 19 en el campo Tipo de IVA se admiten los tipos 12% y 10,5% (compensación)</t>
  </si>
  <si>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</si>
  <si>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</si>
  <si>
    <t>Ejercicio: 2024</t>
  </si>
  <si>
    <r>
      <rPr>
        <b/>
        <sz val="12"/>
        <color theme="0" tint="-0.499984740745262"/>
        <rFont val="Arial"/>
        <family val="2"/>
      </rPr>
      <t xml:space="preserve">LIBRO REGISTRO FACTURAS RECIBIDAS Y LIBRO REGISTRO DE COMPRAS Y GASTOS (Nombre del fichero: </t>
    </r>
    <r>
      <rPr>
        <b/>
        <sz val="12"/>
        <rFont val="Arial"/>
        <family val="2"/>
      </rPr>
      <t>202499999999R@español español, juan</t>
    </r>
    <r>
      <rPr>
        <b/>
        <sz val="12"/>
        <color theme="0" tint="-0.34998626667073579"/>
        <rFont val="Arial"/>
        <family val="2"/>
      </rPr>
      <t>)</t>
    </r>
  </si>
  <si>
    <t>LIBRO REGISTRO DE BIENES DE INVERSIÓN (Nombre del fichero: 202499999999R@español español, juan)</t>
  </si>
  <si>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</si>
  <si>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</si>
  <si>
    <t>A</t>
  </si>
  <si>
    <t>3T</t>
  </si>
  <si>
    <t>J55650972</t>
  </si>
  <si>
    <t>DARMÓS MUSIC PROJECTS</t>
  </si>
  <si>
    <t>I08</t>
  </si>
  <si>
    <t>F1</t>
  </si>
  <si>
    <t>GENERALITAT DE CATALUNYA</t>
  </si>
  <si>
    <t>S0811001G</t>
  </si>
  <si>
    <t>4T</t>
  </si>
  <si>
    <t>2T</t>
  </si>
  <si>
    <t>B55076921</t>
  </si>
  <si>
    <t>EUSES TERRES DE L'EBRE SL</t>
  </si>
  <si>
    <t>S1</t>
  </si>
  <si>
    <t>THOMANN</t>
  </si>
  <si>
    <t>1T</t>
  </si>
  <si>
    <t>P4307800E</t>
  </si>
  <si>
    <t>AJUNTAMENT MAS DE BARBERANS</t>
  </si>
  <si>
    <t>Q5855611I</t>
  </si>
  <si>
    <t>INSTITUT MONTSERRAT</t>
  </si>
  <si>
    <t>NIF: 78582484V</t>
  </si>
  <si>
    <r>
      <rPr>
        <b/>
        <sz val="12"/>
        <color theme="0" tint="-0.499984740745262"/>
        <rFont val="Arial"/>
        <family val="2"/>
      </rPr>
      <t>LIBRO REGISTRO FACTURAS EXPEDIDAS Y LIBRO REGISTRO DE VENTAS E INGRESOS (Nombre del fichero:</t>
    </r>
    <r>
      <rPr>
        <b/>
        <sz val="12"/>
        <color theme="0" tint="-0.34998626667073579"/>
        <rFont val="Arial"/>
        <family val="2"/>
      </rPr>
      <t xml:space="preserve"> </t>
    </r>
    <r>
      <rPr>
        <b/>
        <sz val="12"/>
        <rFont val="Arial"/>
        <family val="2"/>
      </rPr>
      <t>78582484V@Martí Fandos, Paula</t>
    </r>
    <r>
      <rPr>
        <b/>
        <sz val="12"/>
        <color theme="0" tint="-0.34998626667073579"/>
        <rFont val="Arial"/>
        <family val="2"/>
      </rPr>
      <t>)</t>
    </r>
  </si>
  <si>
    <t>NOMBRE O RAZÓN SOCIAL: Martí Fandos, Paula</t>
  </si>
  <si>
    <t>ASSOCIACIÓ CULTURAL LA COMPANYIA</t>
  </si>
  <si>
    <t>G55689749</t>
  </si>
  <si>
    <t>P4404900E</t>
  </si>
  <si>
    <t>AYUNTAMIENTO DE CALACEITE</t>
  </si>
  <si>
    <t>AJUNTAMENT D'ULLDECONA</t>
  </si>
  <si>
    <t>P4315000B</t>
  </si>
  <si>
    <t>AJUNTAMENT DE TARRAGONA</t>
  </si>
  <si>
    <t>P4315500A</t>
  </si>
  <si>
    <t>AJUNTAMENT DE TORREDEMBARRA</t>
  </si>
  <si>
    <t>P0822500E</t>
  </si>
  <si>
    <t>AJUNTAMENT DE SANT JOAN DE VILATORRADA</t>
  </si>
  <si>
    <t>CLUB LLEURESPORT</t>
  </si>
  <si>
    <t>G60320132</t>
  </si>
  <si>
    <t>P4301400J</t>
  </si>
  <si>
    <t>AJUNTAMENT D'AMPOSTA</t>
  </si>
  <si>
    <t xml:space="preserve">P4300400A </t>
  </si>
  <si>
    <t>AJUNTAMENT D'ALCANAR</t>
  </si>
  <si>
    <t>16057886E</t>
  </si>
  <si>
    <t>JOSE OLANO FERNÁNDEZ</t>
  </si>
  <si>
    <t>F231103</t>
  </si>
  <si>
    <t>76273066</t>
  </si>
  <si>
    <t>76276270</t>
  </si>
  <si>
    <t>DE257375233</t>
  </si>
  <si>
    <t>P4315800E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</si>
</sst>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name val="Arial"/>
      <family val="2"/>
    </font>
    <font>
      <sz val="10"/>
      <color theme="1"/>
      <name val="Arial"/>
      <family val="2"/>
    </font>
    <font>
      <b/>
      <sz val="11"/>
      <color theme="1"/>
      <name val="Calibri"/>
      <family val="2"/>
      <scheme val="minor"/>
    </font>
    <font>
      <b/>
      <sz val="12"/>
      <name val="Arial"/>
      <family val="2"/>
    </font>
    <font>
      <b/>
      <sz val="12"/>
      <color theme="0" tint="-0.34998626667073579"/>
      <name val="Arial"/>
      <family val="2"/>
    </font>
    <font>
      <b/>
      <sz val="12"/>
      <color theme="0" tint="-0.499984740745262"/>
      <name val="Arial"/>
      <family val="2"/>
    </font>
    <font>
      <b/>
      <sz val="10"/>
      <color theme="0" tint="-0.499984740745262"/>
      <name val="Arial"/>
      <family val="2"/>
    </font>
    <font>
      <sz val="11"/>
      <color theme="0" tint="-0.499984740745262"/>
      <name val="Calibri"/>
      <family val="2"/>
      <scheme val="minor"/>
    </font>
    <font>
      <sz val="11"/>
      <color theme="1"/>
      <name val="Arial"/>
      <family val="2"/>
    </font>
    <font>
      <b/>
      <sz val="11"/>
      <color theme="1"/>
      <name val="Arial"/>
      <family val="2"/>
    </font>
    <font>
      <b/>
      <sz val="10"/>
      <name val="Arial"/>
      <family val="2"/>
    </font>
    <font>
      <b/>
      <vertAlign val="superscript"/>
      <sz val="10"/>
      <name val="Arial"/>
      <family val="2"/>
    </font>
    <font>
      <sz val="11"/>
      <name val="Arial"/>
      <family val="2"/>
    </font>
    <font>
      <b/>
      <sz val="11"/>
      <name val="Arial"/>
      <family val="2"/>
    </font>
    <font>
      <sz val="11"/>
      <name val="Calibri"/>
      <family val="2"/>
      <scheme val="minor"/>
    </font>
    <font>
      <b/>
      <vertAlign val="superscript"/>
      <sz val="11"/>
      <name val="Arial"/>
      <family val="2"/>
    </font>
    <font>
      <b/>
      <sz val="11"/>
      <name val="Calibri"/>
      <family val="2"/>
      <scheme val="minor"/>
    </font>
    <font>
      <sz val="10"/>
      <name val="Arial"/>
      <family val="2"/>
    </font>
    <font>
      <b/>
      <vertAlign val="superscript"/>
      <sz val="11"/>
      <color theme="1"/>
      <name val="Arial"/>
      <family val="2"/>
    </font>
    <font>
      <b/>
      <i/>
      <sz val="11"/>
      <color rgb="FF77BFD3"/>
      <name val="Calibri"/>
      <family val="2"/>
      <scheme val="minor"/>
    </font>
    <font>
      <b/>
      <i/>
      <sz val="11"/>
      <color rgb="FFA8C36B"/>
      <name val="Calibri"/>
      <family val="2"/>
      <scheme val="minor"/>
    </font>
    <font>
      <sz val="11"/>
      <color theme="9" tint="0.39997558519241921"/>
      <name val="Calibri"/>
      <family val="2"/>
      <scheme val="minor"/>
    </font>
    <font>
      <sz val="10"/>
      <name val="Calibri"/>
      <family val="2"/>
      <scheme val="minor"/>
    </font>
    <font>
      <sz val="10"/>
      <color theme="1"/>
      <name val="Helvetica"/>
      <family val="2"/>
    </font>
  </fonts>
  <fills count="10">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1">
    <xf numFmtId="0" fontId="0" fillId="0" borderId="0"/>
  </cellStyleXfs>
  <cellXfs count="234">
    <xf numFmtId="0" fontId="0" fillId="0" borderId="0" xfId="0"/>
    <xf numFmtId="0" fontId="1" fillId="0" borderId="0" xfId="0" applyFont="1"/>
    <xf numFmtId="49" fontId="0" fillId="0" borderId="0" xfId="0" applyNumberFormat="1"/>
    <xf numFmtId="0" fontId="0" fillId="0" borderId="0" xfId="0" applyAlignment="1">
      <alignment horizontal="center"/>
    </xf>
    <xf numFmtId="49" fontId="0" fillId="0" borderId="0" xfId="0" applyNumberFormat="1" applyAlignment="1">
      <alignment horizontal="center"/>
    </xf>
    <xf numFmtId="49" fontId="3" fillId="0" borderId="0" xfId="0" applyNumberFormat="1" applyFont="1"/>
    <xf numFmtId="0" fontId="2" fillId="0" borderId="10" xfId="0" applyFont="1" applyBorder="1" applyAlignment="1">
      <alignment horizontal="center" vertical="center"/>
    </xf>
    <xf numFmtId="0" fontId="0" fillId="0" borderId="0" xfId="0" applyAlignment="1">
      <alignment horizontal="left" vertical="center"/>
    </xf>
    <xf numFmtId="0" fontId="7" fillId="0" borderId="0" xfId="0" applyFont="1"/>
    <xf numFmtId="0" fontId="8" fillId="0" borderId="0" xfId="0" applyFont="1"/>
    <xf numFmtId="49" fontId="7" fillId="0" borderId="0" xfId="0" applyNumberFormat="1" applyFont="1"/>
    <xf numFmtId="0" fontId="14" fillId="0" borderId="0" xfId="0" applyFont="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1" fillId="0" borderId="4" xfId="0" applyFont="1" applyBorder="1" applyAlignment="1">
      <alignment horizontal="center" vertical="center"/>
    </xf>
    <xf numFmtId="0" fontId="11" fillId="0" borderId="1" xfId="0" applyFont="1" applyBorder="1" applyAlignment="1">
      <alignment horizontal="center" vertical="center"/>
    </xf>
    <xf numFmtId="0" fontId="18" fillId="0" borderId="9" xfId="0" applyFont="1" applyBorder="1" applyAlignment="1">
      <alignment horizontal="center" vertical="center"/>
    </xf>
    <xf numFmtId="0" fontId="18" fillId="0" borderId="11" xfId="0" applyFont="1" applyBorder="1" applyAlignment="1">
      <alignment horizontal="center" vertical="center"/>
    </xf>
    <xf numFmtId="0" fontId="18" fillId="0" borderId="30" xfId="0" applyFont="1" applyBorder="1" applyAlignment="1">
      <alignment horizontal="center" vertical="center"/>
    </xf>
    <xf numFmtId="0" fontId="18" fillId="0" borderId="10" xfId="0" applyFont="1" applyBorder="1" applyAlignment="1">
      <alignment horizontal="center" vertical="center"/>
    </xf>
    <xf numFmtId="0" fontId="18" fillId="0" borderId="14" xfId="0" applyFont="1" applyBorder="1" applyAlignment="1">
      <alignment horizontal="center" vertical="center"/>
    </xf>
    <xf numFmtId="0" fontId="18" fillId="0" borderId="18" xfId="0" applyFont="1" applyBorder="1" applyAlignment="1">
      <alignment horizontal="center" vertical="center"/>
    </xf>
    <xf numFmtId="0" fontId="18" fillId="0" borderId="16" xfId="0" applyFont="1" applyBorder="1" applyAlignment="1">
      <alignment horizontal="center" vertical="center"/>
    </xf>
    <xf numFmtId="0" fontId="18" fillId="0" borderId="0" xfId="0" applyFont="1" applyAlignment="1">
      <alignment horizontal="center" vertical="center"/>
    </xf>
    <xf numFmtId="0" fontId="14" fillId="0" borderId="4" xfId="0" applyFont="1" applyBorder="1" applyAlignment="1">
      <alignment horizontal="center" vertical="center"/>
    </xf>
    <xf numFmtId="0" fontId="14" fillId="0" borderId="31" xfId="0" applyFont="1" applyBorder="1" applyAlignment="1">
      <alignment horizontal="center" vertical="center"/>
    </xf>
    <xf numFmtId="0" fontId="15" fillId="0" borderId="0" xfId="0" applyFont="1"/>
    <xf numFmtId="49" fontId="17" fillId="0" borderId="0" xfId="0" applyNumberFormat="1" applyFont="1"/>
    <xf numFmtId="49" fontId="15" fillId="0" borderId="0" xfId="0" applyNumberFormat="1" applyFont="1"/>
    <xf numFmtId="0" fontId="15" fillId="0" borderId="0" xfId="0" applyFont="1" applyAlignment="1">
      <alignment horizontal="left" vertical="center"/>
    </xf>
    <xf numFmtId="1" fontId="15" fillId="0" borderId="26" xfId="0" applyNumberFormat="1" applyFont="1" applyBorder="1" applyAlignment="1">
      <alignment horizontal="right" vertical="center" indent="2"/>
    </xf>
    <xf numFmtId="0" fontId="15" fillId="0" borderId="0" xfId="0" applyFont="1" applyAlignment="1">
      <alignment horizontal="center"/>
    </xf>
    <xf numFmtId="49" fontId="15" fillId="0" borderId="0" xfId="0" applyNumberFormat="1" applyFont="1" applyAlignment="1">
      <alignment horizont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10" fillId="0" borderId="7"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8" xfId="0" applyFont="1" applyBorder="1" applyAlignment="1">
      <alignment horizontal="center" vertical="center" wrapText="1"/>
    </xf>
    <xf numFmtId="0" fontId="15" fillId="0" borderId="0" xfId="0" applyFont="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7" fillId="0" borderId="4" xfId="0" applyFont="1" applyBorder="1" applyAlignment="1">
      <alignment horizontal="center" vertical="center"/>
    </xf>
    <xf numFmtId="0" fontId="17" fillId="0" borderId="1" xfId="0" applyFont="1" applyBorder="1" applyAlignment="1">
      <alignment horizontal="center" vertical="center"/>
    </xf>
    <xf numFmtId="0" fontId="17" fillId="0" borderId="24" xfId="0" applyFont="1" applyBorder="1" applyAlignment="1">
      <alignment horizontal="center" vertical="center"/>
    </xf>
    <xf numFmtId="0" fontId="17" fillId="0" borderId="2" xfId="0" applyFont="1" applyBorder="1" applyAlignment="1">
      <alignment horizontal="center" vertical="center"/>
    </xf>
    <xf numFmtId="0" fontId="17" fillId="0" borderId="25" xfId="0" applyFont="1" applyBorder="1" applyAlignment="1">
      <alignment horizontal="center" vertical="center"/>
    </xf>
    <xf numFmtId="0" fontId="15" fillId="0" borderId="14" xfId="0" applyFont="1" applyBorder="1" applyAlignment="1">
      <alignment horizontal="center" vertical="center"/>
    </xf>
    <xf numFmtId="0" fontId="15" fillId="0" borderId="10" xfId="0" applyFont="1" applyBorder="1" applyAlignment="1">
      <alignment horizontal="center" vertical="center"/>
    </xf>
    <xf numFmtId="1" fontId="15" fillId="0" borderId="26" xfId="0" applyNumberFormat="1" applyFont="1" applyBorder="1" applyAlignment="1">
      <alignment horizontal="right" vertical="center" wrapText="1" indent="2"/>
    </xf>
    <xf numFmtId="0" fontId="15" fillId="0" borderId="0" xfId="0" applyFont="1" applyAlignment="1">
      <alignment horizontal="left" vertical="center" wrapText="1"/>
    </xf>
    <xf numFmtId="0" fontId="17" fillId="0" borderId="0" xfId="0" applyFont="1" applyAlignment="1">
      <alignment horizontal="center" vertical="center"/>
    </xf>
    <xf numFmtId="0" fontId="17" fillId="0" borderId="3" xfId="0" applyFont="1" applyBorder="1" applyAlignment="1">
      <alignment horizontal="center" vertical="center"/>
    </xf>
    <xf numFmtId="0" fontId="11" fillId="5" borderId="8" xfId="0" applyFont="1" applyFill="1" applyBorder="1" applyAlignment="1">
      <alignment horizontal="center" vertical="center"/>
    </xf>
    <xf numFmtId="0" fontId="20" fillId="3" borderId="0" xfId="0" applyFont="1" applyFill="1" applyAlignment="1">
      <alignment horizontal="center" vertical="center"/>
    </xf>
    <xf numFmtId="0" fontId="21" fillId="4" borderId="0" xfId="0" applyFont="1" applyFill="1" applyAlignment="1">
      <alignment horizontal="center" vertical="center"/>
    </xf>
    <xf numFmtId="0" fontId="0" fillId="0" borderId="0" xfId="0" applyAlignment="1">
      <alignment vertical="center" wrapText="1"/>
    </xf>
    <xf numFmtId="0" fontId="17" fillId="0" borderId="33" xfId="0" applyFont="1" applyBorder="1" applyAlignment="1">
      <alignment horizontal="center" vertical="center"/>
    </xf>
    <xf numFmtId="0" fontId="18" fillId="0" borderId="34" xfId="0" applyFont="1" applyBorder="1" applyAlignment="1">
      <alignment horizontal="center" vertical="center"/>
    </xf>
    <xf numFmtId="1" fontId="15" fillId="4" borderId="26" xfId="0" applyNumberFormat="1" applyFont="1" applyFill="1" applyBorder="1" applyAlignment="1">
      <alignment horizontal="right" vertical="center" wrapText="1" indent="2"/>
    </xf>
    <xf numFmtId="1" fontId="15" fillId="3" borderId="26" xfId="0" applyNumberFormat="1" applyFont="1" applyFill="1" applyBorder="1" applyAlignment="1">
      <alignment horizontal="right" vertical="center" wrapText="1" indent="2"/>
    </xf>
    <xf numFmtId="1" fontId="15" fillId="4" borderId="26" xfId="0" applyNumberFormat="1" applyFont="1" applyFill="1" applyBorder="1" applyAlignment="1">
      <alignment horizontal="right" vertical="center" indent="2"/>
    </xf>
    <xf numFmtId="1" fontId="15" fillId="5" borderId="26" xfId="0" applyNumberFormat="1" applyFont="1" applyFill="1" applyBorder="1" applyAlignment="1">
      <alignment horizontal="right" vertical="center" wrapText="1" indent="2"/>
    </xf>
    <xf numFmtId="0" fontId="22" fillId="0" borderId="0" xfId="0" applyFont="1" applyAlignment="1">
      <alignment horizontal="left" vertical="center"/>
    </xf>
    <xf numFmtId="0" fontId="15" fillId="6" borderId="0" xfId="0" applyFont="1" applyFill="1" applyAlignment="1">
      <alignment horizontal="left" vertical="center"/>
    </xf>
    <xf numFmtId="0" fontId="21" fillId="0" borderId="0" xfId="0" applyFont="1" applyAlignment="1">
      <alignment horizontal="center" vertical="center"/>
    </xf>
    <xf numFmtId="0" fontId="15" fillId="5" borderId="0" xfId="0" applyFont="1" applyFill="1" applyAlignment="1">
      <alignment horizontal="left" vertical="center"/>
    </xf>
    <xf numFmtId="0" fontId="15" fillId="5" borderId="0" xfId="0" applyFont="1" applyFill="1" applyAlignment="1">
      <alignment horizontal="left" vertical="center" wrapText="1"/>
    </xf>
    <xf numFmtId="0" fontId="0" fillId="5" borderId="0" xfId="0" applyFill="1"/>
    <xf numFmtId="0" fontId="17" fillId="0" borderId="35" xfId="0" applyFont="1" applyBorder="1" applyAlignment="1">
      <alignment horizontal="center" vertical="center"/>
    </xf>
    <xf numFmtId="0" fontId="18" fillId="0" borderId="37" xfId="0" applyFont="1" applyBorder="1" applyAlignment="1">
      <alignment horizontal="center" vertical="center"/>
    </xf>
    <xf numFmtId="0" fontId="15" fillId="0" borderId="40" xfId="0" applyFont="1" applyBorder="1" applyAlignment="1">
      <alignment horizontal="center" vertical="center"/>
    </xf>
    <xf numFmtId="0" fontId="18" fillId="0" borderId="38" xfId="0" applyFont="1" applyBorder="1" applyAlignment="1">
      <alignment horizontal="center" vertical="center"/>
    </xf>
    <xf numFmtId="0" fontId="15" fillId="0" borderId="38" xfId="0" applyFont="1" applyBorder="1" applyAlignment="1">
      <alignment horizontal="center" vertical="center"/>
    </xf>
    <xf numFmtId="0" fontId="2" fillId="0" borderId="41" xfId="0" applyFont="1" applyBorder="1"/>
    <xf numFmtId="0" fontId="18" fillId="0" borderId="40" xfId="0" applyFont="1" applyBorder="1" applyAlignment="1">
      <alignment horizontal="center" vertical="center"/>
    </xf>
    <xf numFmtId="14" fontId="18" fillId="0" borderId="22" xfId="0" applyNumberFormat="1" applyFont="1" applyBorder="1" applyAlignment="1">
      <alignment horizontal="center" vertical="center"/>
    </xf>
    <xf numFmtId="14" fontId="18" fillId="0" borderId="38" xfId="0" applyNumberFormat="1" applyFont="1" applyBorder="1" applyAlignment="1">
      <alignment horizontal="center" vertical="center"/>
    </xf>
    <xf numFmtId="0" fontId="18" fillId="0" borderId="42" xfId="0" applyFont="1" applyBorder="1" applyAlignment="1">
      <alignment horizontal="center" vertical="center"/>
    </xf>
    <xf numFmtId="2" fontId="18" fillId="0" borderId="22" xfId="0" applyNumberFormat="1" applyFont="1" applyBorder="1" applyAlignment="1">
      <alignment horizontal="center" vertical="center"/>
    </xf>
    <xf numFmtId="2" fontId="18" fillId="0" borderId="38" xfId="0" applyNumberFormat="1" applyFont="1" applyBorder="1" applyAlignment="1">
      <alignment horizontal="center" vertical="center"/>
    </xf>
    <xf numFmtId="0" fontId="18" fillId="0" borderId="39" xfId="0" applyFont="1" applyBorder="1" applyAlignment="1">
      <alignment horizontal="center" vertical="center"/>
    </xf>
    <xf numFmtId="2" fontId="18" fillId="0" borderId="47" xfId="0" applyNumberFormat="1" applyFont="1" applyBorder="1" applyAlignment="1">
      <alignment horizontal="center" vertical="center"/>
    </xf>
    <xf numFmtId="2" fontId="18" fillId="0" borderId="48" xfId="0" applyNumberFormat="1" applyFont="1" applyBorder="1" applyAlignment="1">
      <alignment horizontal="center" vertical="center"/>
    </xf>
    <xf numFmtId="2" fontId="18" fillId="0" borderId="46" xfId="0" applyNumberFormat="1" applyFont="1" applyBorder="1" applyAlignment="1">
      <alignment horizontal="center" vertical="center"/>
    </xf>
    <xf numFmtId="0" fontId="15" fillId="0" borderId="45" xfId="0" applyFont="1" applyBorder="1" applyAlignment="1">
      <alignment horizontal="center" vertical="center"/>
    </xf>
    <xf numFmtId="2" fontId="18" fillId="0" borderId="50" xfId="0" applyNumberFormat="1" applyFont="1" applyBorder="1" applyAlignment="1">
      <alignment horizontal="center" vertical="center"/>
    </xf>
    <xf numFmtId="0" fontId="15" fillId="0" borderId="44" xfId="0" applyFont="1" applyBorder="1" applyAlignment="1">
      <alignment horizontal="center" vertical="center"/>
    </xf>
    <xf numFmtId="0" fontId="18" fillId="0" borderId="45" xfId="0" applyFont="1" applyBorder="1" applyAlignment="1">
      <alignment horizontal="center" vertical="center"/>
    </xf>
    <xf numFmtId="0" fontId="18" fillId="0" borderId="51" xfId="0" applyFont="1" applyBorder="1" applyAlignment="1">
      <alignment horizontal="center" vertical="center"/>
    </xf>
    <xf numFmtId="0" fontId="18" fillId="0" borderId="48" xfId="0" applyFont="1" applyBorder="1" applyAlignment="1">
      <alignment horizontal="center" vertical="center"/>
    </xf>
    <xf numFmtId="49" fontId="23" fillId="5" borderId="22" xfId="0" applyNumberFormat="1" applyFont="1" applyFill="1" applyBorder="1" applyAlignment="1">
      <alignment horizontal="left"/>
    </xf>
    <xf numFmtId="0" fontId="2" fillId="0" borderId="51" xfId="0" applyFont="1" applyBorder="1" applyAlignment="1">
      <alignment horizontal="center"/>
    </xf>
    <xf numFmtId="0" fontId="2" fillId="0" borderId="48" xfId="0" applyFont="1" applyBorder="1" applyAlignment="1">
      <alignment horizontal="center"/>
    </xf>
    <xf numFmtId="0" fontId="18" fillId="0" borderId="52" xfId="0" applyFont="1" applyBorder="1" applyAlignment="1">
      <alignment horizontal="center" vertical="center"/>
    </xf>
    <xf numFmtId="0" fontId="15" fillId="0" borderId="47" xfId="0" applyFont="1" applyBorder="1" applyAlignment="1">
      <alignment horizontal="center" vertical="center"/>
    </xf>
    <xf numFmtId="0" fontId="15" fillId="0" borderId="48" xfId="0" applyFont="1" applyBorder="1" applyAlignment="1">
      <alignment horizontal="center" vertical="center"/>
    </xf>
    <xf numFmtId="49" fontId="18" fillId="5" borderId="48" xfId="0" applyNumberFormat="1" applyFont="1" applyFill="1" applyBorder="1" applyAlignment="1">
      <alignment horizontal="left"/>
    </xf>
    <xf numFmtId="0" fontId="18" fillId="0" borderId="41" xfId="0" applyFont="1" applyBorder="1" applyAlignment="1">
      <alignment horizontal="center" vertical="center"/>
    </xf>
    <xf numFmtId="0" fontId="18" fillId="7" borderId="9" xfId="0" applyFont="1" applyFill="1" applyBorder="1" applyAlignment="1">
      <alignment horizontal="center" vertical="center"/>
    </xf>
    <xf numFmtId="0" fontId="18" fillId="7" borderId="11" xfId="0" applyFont="1" applyFill="1" applyBorder="1" applyAlignment="1">
      <alignment horizontal="center" vertical="center"/>
    </xf>
    <xf numFmtId="0" fontId="18" fillId="7" borderId="34" xfId="0" applyFont="1" applyFill="1" applyBorder="1" applyAlignment="1">
      <alignment horizontal="center" vertical="center"/>
    </xf>
    <xf numFmtId="0" fontId="18" fillId="7" borderId="14" xfId="0" applyFont="1" applyFill="1" applyBorder="1" applyAlignment="1">
      <alignment horizontal="center" vertical="center"/>
    </xf>
    <xf numFmtId="0" fontId="15" fillId="7" borderId="14" xfId="0" applyFont="1" applyFill="1" applyBorder="1" applyAlignment="1">
      <alignment horizontal="center" vertical="center"/>
    </xf>
    <xf numFmtId="14" fontId="18" fillId="7" borderId="14" xfId="0" applyNumberFormat="1" applyFont="1" applyFill="1" applyBorder="1" applyAlignment="1">
      <alignment horizontal="center" vertical="center"/>
    </xf>
    <xf numFmtId="0" fontId="18" fillId="7" borderId="16" xfId="0" applyFont="1" applyFill="1" applyBorder="1" applyAlignment="1">
      <alignment horizontal="center" vertical="center"/>
    </xf>
    <xf numFmtId="0" fontId="18" fillId="7" borderId="42" xfId="0" applyFont="1" applyFill="1" applyBorder="1" applyAlignment="1">
      <alignment horizontal="center" vertical="center"/>
    </xf>
    <xf numFmtId="0" fontId="2" fillId="7" borderId="45" xfId="0" applyFont="1" applyFill="1" applyBorder="1"/>
    <xf numFmtId="49" fontId="18" fillId="7" borderId="38" xfId="0" applyNumberFormat="1" applyFont="1" applyFill="1" applyBorder="1" applyAlignment="1">
      <alignment horizontal="left"/>
    </xf>
    <xf numFmtId="0" fontId="15" fillId="7" borderId="10" xfId="0" applyFont="1" applyFill="1" applyBorder="1" applyAlignment="1">
      <alignment horizontal="center" vertical="center"/>
    </xf>
    <xf numFmtId="0" fontId="18" fillId="7" borderId="10" xfId="0" applyFont="1" applyFill="1" applyBorder="1" applyAlignment="1">
      <alignment horizontal="center" vertical="center"/>
    </xf>
    <xf numFmtId="0" fontId="15" fillId="7" borderId="0" xfId="0" applyFont="1" applyFill="1" applyAlignment="1">
      <alignment horizontal="center" vertical="center"/>
    </xf>
    <xf numFmtId="14" fontId="18" fillId="7" borderId="38" xfId="0" applyNumberFormat="1" applyFont="1" applyFill="1" applyBorder="1" applyAlignment="1">
      <alignment horizontal="center" vertical="center"/>
    </xf>
    <xf numFmtId="0" fontId="2" fillId="7" borderId="46" xfId="0" applyFont="1" applyFill="1" applyBorder="1"/>
    <xf numFmtId="0" fontId="18" fillId="7" borderId="38" xfId="0" applyFont="1" applyFill="1" applyBorder="1" applyAlignment="1">
      <alignment horizontal="center" vertical="center"/>
    </xf>
    <xf numFmtId="0" fontId="18" fillId="8" borderId="9" xfId="0" applyFont="1" applyFill="1" applyBorder="1" applyAlignment="1">
      <alignment horizontal="center" vertical="center"/>
    </xf>
    <xf numFmtId="0" fontId="18" fillId="8" borderId="11" xfId="0" applyFont="1" applyFill="1" applyBorder="1" applyAlignment="1">
      <alignment horizontal="center" vertical="center"/>
    </xf>
    <xf numFmtId="0" fontId="18" fillId="8" borderId="34" xfId="0" applyFont="1" applyFill="1" applyBorder="1" applyAlignment="1">
      <alignment horizontal="center" vertical="center"/>
    </xf>
    <xf numFmtId="0" fontId="18" fillId="8" borderId="14" xfId="0" applyFont="1" applyFill="1" applyBorder="1" applyAlignment="1">
      <alignment horizontal="center" vertical="center"/>
    </xf>
    <xf numFmtId="0" fontId="15" fillId="8" borderId="14" xfId="0" applyFont="1" applyFill="1" applyBorder="1" applyAlignment="1">
      <alignment horizontal="center" vertical="center"/>
    </xf>
    <xf numFmtId="14" fontId="18" fillId="8" borderId="22" xfId="0" applyNumberFormat="1" applyFont="1" applyFill="1" applyBorder="1" applyAlignment="1">
      <alignment horizontal="center" vertical="center"/>
    </xf>
    <xf numFmtId="0" fontId="18" fillId="8" borderId="16" xfId="0" applyFont="1" applyFill="1" applyBorder="1" applyAlignment="1">
      <alignment horizontal="center" vertical="center"/>
    </xf>
    <xf numFmtId="0" fontId="18" fillId="8" borderId="42" xfId="0" applyFont="1" applyFill="1" applyBorder="1" applyAlignment="1">
      <alignment horizontal="center" vertical="center"/>
    </xf>
    <xf numFmtId="0" fontId="2" fillId="8" borderId="45" xfId="0" applyFont="1" applyFill="1" applyBorder="1"/>
    <xf numFmtId="49" fontId="18" fillId="8" borderId="40" xfId="0" applyNumberFormat="1" applyFont="1" applyFill="1" applyBorder="1" applyAlignment="1">
      <alignment horizontal="left"/>
    </xf>
    <xf numFmtId="0" fontId="18" fillId="8" borderId="30" xfId="0" applyFont="1" applyFill="1" applyBorder="1" applyAlignment="1">
      <alignment horizontal="center" vertical="center"/>
    </xf>
    <xf numFmtId="2" fontId="18" fillId="8" borderId="22" xfId="0" applyNumberFormat="1" applyFont="1" applyFill="1" applyBorder="1" applyAlignment="1">
      <alignment horizontal="center" vertical="center"/>
    </xf>
    <xf numFmtId="2" fontId="18" fillId="8" borderId="43" xfId="0" applyNumberFormat="1" applyFont="1" applyFill="1" applyBorder="1" applyAlignment="1">
      <alignment horizontal="center" vertical="center"/>
    </xf>
    <xf numFmtId="0" fontId="18" fillId="8" borderId="38" xfId="0" applyFont="1" applyFill="1" applyBorder="1" applyAlignment="1">
      <alignment horizontal="center" vertical="center"/>
    </xf>
    <xf numFmtId="2" fontId="18" fillId="8" borderId="41" xfId="0" applyNumberFormat="1" applyFont="1" applyFill="1" applyBorder="1" applyAlignment="1">
      <alignment horizontal="center" vertical="center"/>
    </xf>
    <xf numFmtId="0" fontId="15" fillId="8" borderId="10" xfId="0" applyFont="1" applyFill="1" applyBorder="1" applyAlignment="1">
      <alignment horizontal="center" vertical="center"/>
    </xf>
    <xf numFmtId="0" fontId="18" fillId="8" borderId="10" xfId="0" applyFont="1" applyFill="1" applyBorder="1" applyAlignment="1">
      <alignment horizontal="center" vertical="center"/>
    </xf>
    <xf numFmtId="0" fontId="15" fillId="8" borderId="0" xfId="0" applyFont="1" applyFill="1" applyAlignment="1">
      <alignment horizontal="center" vertical="center"/>
    </xf>
    <xf numFmtId="14" fontId="18" fillId="8" borderId="38" xfId="0" applyNumberFormat="1" applyFont="1" applyFill="1" applyBorder="1" applyAlignment="1">
      <alignment horizontal="center" vertical="center"/>
    </xf>
    <xf numFmtId="49" fontId="18" fillId="8" borderId="22" xfId="0" applyNumberFormat="1" applyFont="1" applyFill="1" applyBorder="1" applyAlignment="1">
      <alignment horizontal="left"/>
    </xf>
    <xf numFmtId="2" fontId="18" fillId="8" borderId="38" xfId="0" applyNumberFormat="1" applyFont="1" applyFill="1" applyBorder="1" applyAlignment="1">
      <alignment horizontal="center" vertical="center"/>
    </xf>
    <xf numFmtId="49" fontId="18" fillId="8" borderId="38" xfId="0" applyNumberFormat="1" applyFont="1" applyFill="1" applyBorder="1" applyAlignment="1">
      <alignment horizontal="left"/>
    </xf>
    <xf numFmtId="0" fontId="18" fillId="8" borderId="18" xfId="0" applyFont="1" applyFill="1" applyBorder="1" applyAlignment="1">
      <alignment horizontal="center" vertical="center"/>
    </xf>
    <xf numFmtId="0" fontId="2" fillId="8" borderId="41" xfId="0" applyFont="1" applyFill="1" applyBorder="1"/>
    <xf numFmtId="0" fontId="18" fillId="9" borderId="9" xfId="0" applyFont="1" applyFill="1" applyBorder="1" applyAlignment="1">
      <alignment horizontal="center" vertical="center"/>
    </xf>
    <xf numFmtId="0" fontId="18" fillId="9" borderId="11" xfId="0" applyFont="1" applyFill="1" applyBorder="1" applyAlignment="1">
      <alignment horizontal="center" vertical="center"/>
    </xf>
    <xf numFmtId="0" fontId="18" fillId="9" borderId="34" xfId="0" applyFont="1" applyFill="1" applyBorder="1" applyAlignment="1">
      <alignment horizontal="center" vertical="center"/>
    </xf>
    <xf numFmtId="0" fontId="18" fillId="9" borderId="14" xfId="0" applyFont="1" applyFill="1" applyBorder="1" applyAlignment="1">
      <alignment horizontal="center" vertical="center"/>
    </xf>
    <xf numFmtId="0" fontId="15" fillId="9" borderId="14" xfId="0" applyFont="1" applyFill="1" applyBorder="1" applyAlignment="1">
      <alignment horizontal="center" vertical="center"/>
    </xf>
    <xf numFmtId="14" fontId="18" fillId="9" borderId="38" xfId="0" applyNumberFormat="1" applyFont="1" applyFill="1" applyBorder="1" applyAlignment="1">
      <alignment horizontal="center" vertical="center"/>
    </xf>
    <xf numFmtId="0" fontId="18" fillId="9" borderId="16" xfId="0" applyFont="1" applyFill="1" applyBorder="1" applyAlignment="1">
      <alignment horizontal="center" vertical="center"/>
    </xf>
    <xf numFmtId="0" fontId="18" fillId="9" borderId="39" xfId="0" applyFont="1" applyFill="1" applyBorder="1" applyAlignment="1">
      <alignment horizontal="center" vertical="center"/>
    </xf>
    <xf numFmtId="0" fontId="2" fillId="9" borderId="41" xfId="0" applyFont="1" applyFill="1" applyBorder="1"/>
    <xf numFmtId="49" fontId="18" fillId="9" borderId="38" xfId="0" applyNumberFormat="1" applyFont="1" applyFill="1" applyBorder="1" applyAlignment="1">
      <alignment horizontal="left"/>
    </xf>
    <xf numFmtId="0" fontId="18" fillId="9" borderId="30" xfId="0" applyFont="1" applyFill="1" applyBorder="1" applyAlignment="1">
      <alignment horizontal="center" vertical="center"/>
    </xf>
    <xf numFmtId="2" fontId="18" fillId="9" borderId="38" xfId="0" applyNumberFormat="1" applyFont="1" applyFill="1" applyBorder="1" applyAlignment="1">
      <alignment horizontal="center" vertical="center"/>
    </xf>
    <xf numFmtId="2" fontId="18" fillId="9" borderId="47" xfId="0" applyNumberFormat="1" applyFont="1" applyFill="1" applyBorder="1" applyAlignment="1">
      <alignment horizontal="center" vertical="center"/>
    </xf>
    <xf numFmtId="0" fontId="18" fillId="9" borderId="38" xfId="0" applyFont="1" applyFill="1" applyBorder="1" applyAlignment="1">
      <alignment horizontal="center" vertical="center"/>
    </xf>
    <xf numFmtId="2" fontId="18" fillId="9" borderId="48" xfId="0" applyNumberFormat="1" applyFont="1" applyFill="1" applyBorder="1" applyAlignment="1">
      <alignment horizontal="center" vertical="center"/>
    </xf>
    <xf numFmtId="0" fontId="15" fillId="9" borderId="10" xfId="0" applyFont="1" applyFill="1" applyBorder="1" applyAlignment="1">
      <alignment horizontal="center" vertical="center"/>
    </xf>
    <xf numFmtId="0" fontId="18" fillId="9" borderId="10" xfId="0" applyFont="1" applyFill="1" applyBorder="1" applyAlignment="1">
      <alignment horizontal="center" vertical="center"/>
    </xf>
    <xf numFmtId="0" fontId="15" fillId="9" borderId="0" xfId="0" applyFont="1" applyFill="1" applyAlignment="1">
      <alignment horizontal="center" vertical="center"/>
    </xf>
    <xf numFmtId="49" fontId="18" fillId="9" borderId="48" xfId="0" applyNumberFormat="1" applyFont="1" applyFill="1" applyBorder="1" applyAlignment="1">
      <alignment horizontal="left"/>
    </xf>
    <xf numFmtId="49" fontId="18" fillId="9" borderId="40" xfId="0" applyNumberFormat="1" applyFont="1" applyFill="1" applyBorder="1" applyAlignment="1">
      <alignment horizontal="left"/>
    </xf>
    <xf numFmtId="14" fontId="18" fillId="9" borderId="22" xfId="0" applyNumberFormat="1" applyFont="1" applyFill="1" applyBorder="1" applyAlignment="1">
      <alignment horizontal="center" vertical="center"/>
    </xf>
    <xf numFmtId="0" fontId="2" fillId="9" borderId="51" xfId="0" applyFont="1" applyFill="1" applyBorder="1" applyAlignment="1">
      <alignment horizontal="center"/>
    </xf>
    <xf numFmtId="0" fontId="18" fillId="9" borderId="18" xfId="0" applyFont="1" applyFill="1" applyBorder="1" applyAlignment="1">
      <alignment horizontal="center" vertical="center"/>
    </xf>
    <xf numFmtId="0" fontId="2" fillId="9" borderId="48" xfId="0" applyFont="1" applyFill="1" applyBorder="1" applyAlignment="1">
      <alignment horizontal="center"/>
    </xf>
    <xf numFmtId="49" fontId="23" fillId="9" borderId="22" xfId="0" applyNumberFormat="1" applyFont="1" applyFill="1" applyBorder="1" applyAlignment="1">
      <alignment horizontal="left"/>
    </xf>
    <xf numFmtId="2" fontId="18" fillId="9" borderId="50" xfId="0" applyNumberFormat="1" applyFont="1" applyFill="1" applyBorder="1" applyAlignment="1">
      <alignment horizontal="center" vertical="center"/>
    </xf>
    <xf numFmtId="2" fontId="18" fillId="9" borderId="22" xfId="0" applyNumberFormat="1" applyFont="1" applyFill="1" applyBorder="1" applyAlignment="1">
      <alignment horizontal="center" vertical="center"/>
    </xf>
    <xf numFmtId="2" fontId="18" fillId="9" borderId="46" xfId="0" applyNumberFormat="1" applyFont="1" applyFill="1" applyBorder="1" applyAlignment="1">
      <alignment horizontal="center" vertical="center"/>
    </xf>
    <xf numFmtId="0" fontId="2" fillId="0" borderId="53" xfId="0" applyFont="1" applyBorder="1" applyAlignment="1">
      <alignment horizontal="center"/>
    </xf>
    <xf numFmtId="14" fontId="18" fillId="8" borderId="14" xfId="0" applyNumberFormat="1" applyFont="1" applyFill="1" applyBorder="1" applyAlignment="1">
      <alignment horizontal="center" vertical="center"/>
    </xf>
    <xf numFmtId="0" fontId="2" fillId="8" borderId="43" xfId="0" applyFont="1" applyFill="1" applyBorder="1" applyAlignment="1">
      <alignment horizontal="center"/>
    </xf>
    <xf numFmtId="0" fontId="2" fillId="8" borderId="41" xfId="0" applyFont="1" applyFill="1" applyBorder="1" applyAlignment="1">
      <alignment horizontal="center"/>
    </xf>
    <xf numFmtId="49" fontId="23" fillId="8" borderId="22" xfId="0" applyNumberFormat="1" applyFont="1" applyFill="1" applyBorder="1" applyAlignment="1">
      <alignment horizontal="left"/>
    </xf>
    <xf numFmtId="0" fontId="15" fillId="9" borderId="36" xfId="0" applyFont="1" applyFill="1" applyBorder="1" applyAlignment="1">
      <alignment horizontal="center" vertical="center"/>
    </xf>
    <xf numFmtId="2" fontId="18" fillId="8" borderId="46" xfId="0" applyNumberFormat="1" applyFont="1" applyFill="1" applyBorder="1" applyAlignment="1">
      <alignment horizontal="center" vertical="center"/>
    </xf>
    <xf numFmtId="0" fontId="2" fillId="9" borderId="41" xfId="0" applyFont="1" applyFill="1" applyBorder="1" applyAlignment="1">
      <alignment horizontal="center"/>
    </xf>
    <xf numFmtId="2" fontId="18" fillId="9" borderId="44" xfId="0" applyNumberFormat="1" applyFont="1" applyFill="1" applyBorder="1" applyAlignment="1">
      <alignment horizontal="center" vertical="center"/>
    </xf>
    <xf numFmtId="2" fontId="18" fillId="9" borderId="45" xfId="0" applyNumberFormat="1" applyFont="1" applyFill="1" applyBorder="1" applyAlignment="1">
      <alignment horizontal="center" vertical="center"/>
    </xf>
    <xf numFmtId="2" fontId="18" fillId="9" borderId="49" xfId="0" applyNumberFormat="1" applyFont="1" applyFill="1" applyBorder="1" applyAlignment="1">
      <alignment horizontal="center" vertical="center"/>
    </xf>
    <xf numFmtId="0" fontId="15" fillId="9" borderId="38" xfId="0" applyFont="1" applyFill="1" applyBorder="1" applyAlignment="1">
      <alignment horizontal="center" vertical="center"/>
    </xf>
    <xf numFmtId="0" fontId="15" fillId="9" borderId="41" xfId="0" applyFont="1" applyFill="1" applyBorder="1" applyAlignment="1">
      <alignment horizontal="center" vertical="center"/>
    </xf>
    <xf numFmtId="49" fontId="18" fillId="9" borderId="43" xfId="0" applyNumberFormat="1" applyFont="1" applyFill="1" applyBorder="1" applyAlignment="1">
      <alignment horizontal="center" vertical="center"/>
    </xf>
    <xf numFmtId="0" fontId="18" fillId="7" borderId="39" xfId="0" applyFont="1" applyFill="1" applyBorder="1" applyAlignment="1">
      <alignment horizontal="center" vertical="center"/>
    </xf>
    <xf numFmtId="0" fontId="24" fillId="7" borderId="0" xfId="0" applyFont="1" applyFill="1"/>
    <xf numFmtId="0" fontId="24" fillId="8" borderId="0" xfId="0" applyFont="1" applyFill="1"/>
    <xf numFmtId="0" fontId="11" fillId="2" borderId="20" xfId="0" applyFont="1" applyFill="1" applyBorder="1" applyAlignment="1">
      <alignment horizontal="center" vertical="center" wrapText="1"/>
    </xf>
    <xf numFmtId="0" fontId="15" fillId="0" borderId="21" xfId="0" applyFont="1" applyBorder="1" applyAlignment="1">
      <alignment horizontal="center" vertical="center" wrapText="1"/>
    </xf>
    <xf numFmtId="49" fontId="15" fillId="0" borderId="27" xfId="0" applyNumberFormat="1" applyFont="1" applyBorder="1" applyAlignment="1">
      <alignment horizontal="left" vertical="center" wrapText="1"/>
    </xf>
    <xf numFmtId="49" fontId="15" fillId="0" borderId="28" xfId="0" applyNumberFormat="1" applyFont="1" applyBorder="1" applyAlignment="1">
      <alignment horizontal="left" vertical="center" wrapText="1"/>
    </xf>
    <xf numFmtId="49" fontId="15" fillId="0" borderId="29" xfId="0" applyNumberFormat="1" applyFont="1" applyBorder="1" applyAlignment="1">
      <alignment horizontal="left" vertical="center" wrapText="1"/>
    </xf>
    <xf numFmtId="0" fontId="11" fillId="2" borderId="22" xfId="0" applyFont="1" applyFill="1" applyBorder="1" applyAlignment="1">
      <alignment horizontal="center" vertical="center" wrapText="1"/>
    </xf>
    <xf numFmtId="0" fontId="17" fillId="2" borderId="23"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7" fillId="2" borderId="13" xfId="0" applyFont="1" applyFill="1" applyBorder="1" applyAlignment="1">
      <alignment horizontal="center" vertical="center"/>
    </xf>
    <xf numFmtId="0" fontId="15" fillId="2" borderId="13" xfId="0" applyFont="1" applyFill="1" applyBorder="1" applyAlignment="1">
      <alignment horizontal="center" vertical="center" wrapText="1"/>
    </xf>
    <xf numFmtId="0" fontId="17" fillId="2" borderId="20"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21" xfId="0" applyFont="1" applyFill="1" applyBorder="1" applyAlignment="1">
      <alignment horizontal="center" vertical="center"/>
    </xf>
    <xf numFmtId="0" fontId="11" fillId="2" borderId="1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1" fillId="2" borderId="32" xfId="0" applyFont="1" applyFill="1" applyBorder="1" applyAlignment="1">
      <alignment horizontal="center" vertical="center" wrapText="1"/>
    </xf>
    <xf numFmtId="0" fontId="0" fillId="0" borderId="6" xfId="0" applyBorder="1" applyAlignment="1">
      <alignment horizontal="center" vertical="center" wrapText="1"/>
    </xf>
    <xf numFmtId="49" fontId="15" fillId="0" borderId="26" xfId="0" applyNumberFormat="1" applyFont="1" applyBorder="1" applyAlignment="1">
      <alignment horizontal="left" vertical="center" wrapText="1"/>
    </xf>
    <xf numFmtId="0" fontId="15" fillId="0" borderId="26" xfId="0" applyFont="1" applyBorder="1" applyAlignment="1">
      <alignment vertical="center" wrapText="1"/>
    </xf>
    <xf numFmtId="49" fontId="5" fillId="0" borderId="0" xfId="0" applyNumberFormat="1" applyFont="1" applyAlignment="1">
      <alignment horizontal="center"/>
    </xf>
    <xf numFmtId="0" fontId="15" fillId="2" borderId="13" xfId="0" applyFont="1" applyFill="1" applyBorder="1" applyAlignment="1">
      <alignment horizontal="center" vertical="center"/>
    </xf>
    <xf numFmtId="49" fontId="15" fillId="0" borderId="26" xfId="0" applyNumberFormat="1" applyFont="1" applyBorder="1" applyAlignment="1">
      <alignment horizontal="left" vertical="top" wrapText="1"/>
    </xf>
    <xf numFmtId="0" fontId="15" fillId="0" borderId="26" xfId="0" applyFont="1" applyBorder="1" applyAlignment="1">
      <alignment vertical="top" wrapText="1"/>
    </xf>
    <xf numFmtId="0" fontId="15" fillId="0" borderId="26" xfId="0" applyFont="1" applyBorder="1" applyAlignment="1">
      <alignment wrapText="1"/>
    </xf>
    <xf numFmtId="0" fontId="17" fillId="2" borderId="23" xfId="0" applyFont="1" applyFill="1" applyBorder="1" applyAlignment="1">
      <alignment horizontal="center" vertical="center"/>
    </xf>
    <xf numFmtId="0" fontId="15" fillId="0" borderId="0" xfId="0" applyFont="1" applyAlignment="1">
      <alignment horizontal="center"/>
    </xf>
    <xf numFmtId="0" fontId="0" fillId="0" borderId="0" xfId="0" applyAlignment="1">
      <alignment horizontal="center"/>
    </xf>
    <xf numFmtId="0" fontId="17" fillId="2" borderId="15"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1" fillId="2" borderId="15" xfId="0" applyFont="1" applyFill="1" applyBorder="1" applyAlignment="1">
      <alignment horizontal="center" vertical="center" wrapText="1"/>
    </xf>
    <xf numFmtId="0" fontId="15" fillId="2" borderId="17" xfId="0" applyFont="1" applyFill="1" applyBorder="1" applyAlignment="1">
      <alignment horizontal="center" vertical="center"/>
    </xf>
    <xf numFmtId="0" fontId="15" fillId="2" borderId="23" xfId="0" applyFont="1" applyFill="1" applyBorder="1" applyAlignment="1">
      <alignment horizontal="center" vertical="center" wrapText="1"/>
    </xf>
    <xf numFmtId="49" fontId="6" fillId="0" borderId="0" xfId="0" applyNumberFormat="1" applyFont="1" applyAlignment="1">
      <alignment horizontal="center"/>
    </xf>
    <xf numFmtId="0" fontId="0" fillId="0" borderId="0" xfId="0"/>
    <xf numFmtId="0" fontId="13" fillId="0" borderId="21" xfId="0" applyFont="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0"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2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6600"/>
      <color rgb="FFA8C36B"/>
      <color rgb="FFAFC876"/>
      <color rgb="FF77BFD3"/>
      <color rgb="FF83C5D7"/>
      <color rgb="FF44AC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73"/>
  <sheetViews>
    <sheetView showGridLines="0" tabSelected="1" topLeftCell="A2" zoomScaleNormal="100" workbookViewId="0">
      <selection activeCell="C24" sqref="C24"/>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1640625" customWidth="1"/>
    <col min="6" max="7" width="15.5" customWidth="1"/>
    <col min="8" max="8" width="17.83203125" customWidth="1"/>
    <col min="9" max="9" width="18.5" customWidth="1"/>
    <col min="10" max="10" width="17.6640625" bestFit="1" customWidth="1"/>
    <col min="11" max="14" width="15.5" bestFit="1" customWidth="1"/>
    <col min="15" max="15" width="14.5" bestFit="1" customWidth="1"/>
    <col min="16" max="16" width="15.5" bestFit="1" customWidth="1"/>
    <col min="17" max="17" width="30.33203125" customWidth="1"/>
    <col min="18" max="18" width="16.5" customWidth="1"/>
    <col min="19" max="19" width="26.5" customWidth="1"/>
    <col min="20" max="20" width="14.5" bestFit="1" customWidth="1"/>
    <col min="21" max="22" width="13.1640625" bestFit="1" customWidth="1"/>
    <col min="24" max="24" width="13.1640625" bestFit="1" customWidth="1"/>
    <col min="25" max="25" width="12" bestFit="1" customWidth="1"/>
    <col min="26" max="26" width="15.5" bestFit="1" customWidth="1"/>
    <col min="27" max="27" width="17.6640625" bestFit="1" customWidth="1"/>
    <col min="28" max="28" width="14.1640625" customWidth="1"/>
    <col min="29" max="29" width="15.33203125" bestFit="1" customWidth="1"/>
    <col min="30" max="30" width="32.5" bestFit="1" customWidth="1"/>
    <col min="31" max="31" width="17.5" customWidth="1"/>
    <col min="32" max="32" width="19.6640625" bestFit="1" customWidth="1"/>
    <col min="33" max="33" width="18.5" customWidth="1"/>
    <col min="34" max="34" width="14.6640625" bestFit="1" customWidth="1"/>
    <col min="35" max="35" width="18.83203125" bestFit="1" customWidth="1"/>
    <col min="36" max="36" width="18.5" customWidth="1"/>
  </cols>
  <sheetData>
    <row r="1" spans="1:36" ht="16" x14ac:dyDescent="0.2">
      <c r="J1" s="205" t="s">
        <v>234</v>
      </c>
      <c r="K1" s="205"/>
      <c r="L1" s="205"/>
      <c r="M1" s="205"/>
      <c r="N1" s="205"/>
      <c r="O1" s="205"/>
      <c r="P1" s="205"/>
      <c r="Q1" s="205"/>
      <c r="R1" s="205"/>
      <c r="S1" s="205"/>
      <c r="T1" s="205"/>
      <c r="U1" s="205"/>
      <c r="V1" s="205"/>
      <c r="W1" s="205"/>
      <c r="X1" s="205"/>
      <c r="Y1" s="205"/>
      <c r="Z1" s="205"/>
    </row>
    <row r="2" spans="1:36" x14ac:dyDescent="0.2">
      <c r="I2" s="8" t="s">
        <v>209</v>
      </c>
      <c r="J2" s="9"/>
      <c r="K2" s="9"/>
    </row>
    <row r="3" spans="1:36" x14ac:dyDescent="0.2">
      <c r="I3" s="8" t="s">
        <v>233</v>
      </c>
      <c r="J3" s="8"/>
      <c r="K3" s="9"/>
      <c r="U3" s="1"/>
      <c r="AE3" s="1"/>
    </row>
    <row r="4" spans="1:36" x14ac:dyDescent="0.2">
      <c r="I4" s="10" t="s">
        <v>43</v>
      </c>
      <c r="J4" s="8"/>
      <c r="K4" s="9"/>
      <c r="U4" s="1"/>
      <c r="AE4" s="1"/>
    </row>
    <row r="5" spans="1:36" x14ac:dyDescent="0.2">
      <c r="I5" s="8" t="s">
        <v>235</v>
      </c>
      <c r="J5" s="8"/>
      <c r="K5" s="9"/>
    </row>
    <row r="6" spans="1:36" ht="16" thickBot="1" x14ac:dyDescent="0.25"/>
    <row r="7" spans="1:36" s="41" customFormat="1" ht="15" customHeight="1" x14ac:dyDescent="0.2">
      <c r="A7" s="186" t="s">
        <v>69</v>
      </c>
      <c r="B7" s="187"/>
      <c r="C7" s="201" t="s">
        <v>85</v>
      </c>
      <c r="D7" s="199"/>
      <c r="E7" s="202"/>
      <c r="F7" s="191" t="s">
        <v>70</v>
      </c>
      <c r="G7" s="193" t="s">
        <v>106</v>
      </c>
      <c r="H7" s="193" t="s">
        <v>107</v>
      </c>
      <c r="I7" s="193" t="s">
        <v>151</v>
      </c>
      <c r="J7" s="193" t="s">
        <v>71</v>
      </c>
      <c r="K7" s="186" t="s">
        <v>27</v>
      </c>
      <c r="L7" s="199"/>
      <c r="M7" s="187"/>
      <c r="N7" s="186" t="s">
        <v>72</v>
      </c>
      <c r="O7" s="197"/>
      <c r="P7" s="198"/>
      <c r="Q7" s="193" t="s">
        <v>5</v>
      </c>
      <c r="R7" s="191" t="s">
        <v>177</v>
      </c>
      <c r="S7" s="191" t="s">
        <v>152</v>
      </c>
      <c r="T7" s="191" t="s">
        <v>122</v>
      </c>
      <c r="U7" s="193" t="s">
        <v>172</v>
      </c>
      <c r="V7" s="193" t="s">
        <v>0</v>
      </c>
      <c r="W7" s="193" t="s">
        <v>166</v>
      </c>
      <c r="X7" s="193" t="s">
        <v>6</v>
      </c>
      <c r="Y7" s="193" t="s">
        <v>7</v>
      </c>
      <c r="Z7" s="193" t="s">
        <v>154</v>
      </c>
      <c r="AA7" s="196" t="s">
        <v>96</v>
      </c>
      <c r="AB7" s="197"/>
      <c r="AC7" s="197"/>
      <c r="AD7" s="198"/>
      <c r="AE7" s="193" t="s">
        <v>108</v>
      </c>
      <c r="AF7" s="193" t="s">
        <v>109</v>
      </c>
      <c r="AG7" s="191" t="s">
        <v>130</v>
      </c>
      <c r="AH7" s="186" t="s">
        <v>189</v>
      </c>
      <c r="AI7" s="187"/>
      <c r="AJ7" s="191" t="s">
        <v>193</v>
      </c>
    </row>
    <row r="8" spans="1:36" s="41" customFormat="1" ht="17.25" customHeight="1" x14ac:dyDescent="0.2">
      <c r="A8" s="42" t="s">
        <v>39</v>
      </c>
      <c r="B8" s="43" t="s">
        <v>40</v>
      </c>
      <c r="C8" s="42" t="s">
        <v>160</v>
      </c>
      <c r="D8" s="59" t="s">
        <v>21</v>
      </c>
      <c r="E8" s="43" t="s">
        <v>86</v>
      </c>
      <c r="F8" s="192"/>
      <c r="G8" s="200"/>
      <c r="H8" s="194"/>
      <c r="I8" s="195"/>
      <c r="J8" s="195"/>
      <c r="K8" s="44" t="s">
        <v>23</v>
      </c>
      <c r="L8" s="44" t="s">
        <v>24</v>
      </c>
      <c r="M8" s="44" t="s">
        <v>38</v>
      </c>
      <c r="N8" s="42" t="s">
        <v>21</v>
      </c>
      <c r="O8" s="45" t="s">
        <v>11</v>
      </c>
      <c r="P8" s="71" t="s">
        <v>14</v>
      </c>
      <c r="Q8" s="206"/>
      <c r="R8" s="192"/>
      <c r="S8" s="192"/>
      <c r="T8" s="192"/>
      <c r="U8" s="206"/>
      <c r="V8" s="206"/>
      <c r="W8" s="206"/>
      <c r="X8" s="206"/>
      <c r="Y8" s="206"/>
      <c r="Z8" s="195"/>
      <c r="AA8" s="46" t="s">
        <v>16</v>
      </c>
      <c r="AB8" s="47" t="s">
        <v>17</v>
      </c>
      <c r="AC8" s="47" t="s">
        <v>19</v>
      </c>
      <c r="AD8" s="48" t="s">
        <v>30</v>
      </c>
      <c r="AE8" s="194"/>
      <c r="AF8" s="194"/>
      <c r="AG8" s="192"/>
      <c r="AH8" s="42" t="s">
        <v>187</v>
      </c>
      <c r="AI8" s="43" t="s">
        <v>188</v>
      </c>
      <c r="AJ8" s="192"/>
    </row>
    <row r="9" spans="1:36" s="41" customFormat="1" ht="16" thickBot="1" x14ac:dyDescent="0.25">
      <c r="A9" s="18" t="s">
        <v>41</v>
      </c>
      <c r="B9" s="19" t="s">
        <v>12</v>
      </c>
      <c r="C9" s="18" t="s">
        <v>84</v>
      </c>
      <c r="D9" s="60" t="s">
        <v>12</v>
      </c>
      <c r="E9" s="19" t="s">
        <v>83</v>
      </c>
      <c r="F9" s="22" t="s">
        <v>12</v>
      </c>
      <c r="G9" s="22" t="s">
        <v>42</v>
      </c>
      <c r="H9" s="49" t="s">
        <v>18</v>
      </c>
      <c r="I9" s="22" t="s">
        <v>36</v>
      </c>
      <c r="J9" s="22" t="s">
        <v>36</v>
      </c>
      <c r="K9" s="24" t="s">
        <v>15</v>
      </c>
      <c r="L9" s="24" t="s">
        <v>15</v>
      </c>
      <c r="M9" s="24" t="s">
        <v>15</v>
      </c>
      <c r="N9" s="18" t="s">
        <v>12</v>
      </c>
      <c r="O9" s="23" t="s">
        <v>12</v>
      </c>
      <c r="P9" s="19" t="s">
        <v>15</v>
      </c>
      <c r="Q9" s="20" t="s">
        <v>13</v>
      </c>
      <c r="R9" s="22" t="s">
        <v>12</v>
      </c>
      <c r="S9" s="22" t="s">
        <v>12</v>
      </c>
      <c r="T9" s="22" t="s">
        <v>12</v>
      </c>
      <c r="U9" s="49" t="s">
        <v>18</v>
      </c>
      <c r="V9" s="49" t="s">
        <v>18</v>
      </c>
      <c r="W9" s="22" t="s">
        <v>28</v>
      </c>
      <c r="X9" s="49" t="s">
        <v>18</v>
      </c>
      <c r="Y9" s="22" t="s">
        <v>28</v>
      </c>
      <c r="Z9" s="49" t="s">
        <v>18</v>
      </c>
      <c r="AA9" s="18" t="s">
        <v>36</v>
      </c>
      <c r="AB9" s="50" t="s">
        <v>18</v>
      </c>
      <c r="AC9" s="21" t="s">
        <v>12</v>
      </c>
      <c r="AD9" s="19" t="s">
        <v>20</v>
      </c>
      <c r="AE9" s="22" t="s">
        <v>28</v>
      </c>
      <c r="AF9" s="49" t="s">
        <v>18</v>
      </c>
      <c r="AG9" s="22" t="s">
        <v>131</v>
      </c>
      <c r="AH9" s="18" t="s">
        <v>84</v>
      </c>
      <c r="AI9" s="19" t="s">
        <v>15</v>
      </c>
      <c r="AJ9" s="22" t="s">
        <v>13</v>
      </c>
    </row>
    <row r="10" spans="1:36" s="113" customFormat="1" ht="16" thickBot="1" x14ac:dyDescent="0.2">
      <c r="A10" s="101">
        <v>2022</v>
      </c>
      <c r="B10" s="102" t="s">
        <v>223</v>
      </c>
      <c r="C10" s="101" t="s">
        <v>214</v>
      </c>
      <c r="D10" s="103">
        <v>4</v>
      </c>
      <c r="E10" s="102">
        <v>32</v>
      </c>
      <c r="F10" s="104" t="s">
        <v>219</v>
      </c>
      <c r="G10" s="104" t="s">
        <v>218</v>
      </c>
      <c r="H10" s="105"/>
      <c r="I10" s="106">
        <v>44729</v>
      </c>
      <c r="J10" s="104"/>
      <c r="K10" s="107"/>
      <c r="L10" s="107">
        <v>1</v>
      </c>
      <c r="M10" s="107">
        <v>2022</v>
      </c>
      <c r="N10" s="101">
        <v>2</v>
      </c>
      <c r="O10" s="108"/>
      <c r="P10" s="109" t="s">
        <v>224</v>
      </c>
      <c r="Q10" s="110" t="s">
        <v>225</v>
      </c>
      <c r="R10" s="104">
        <v>1</v>
      </c>
      <c r="S10" s="104" t="s">
        <v>226</v>
      </c>
      <c r="T10" s="104"/>
      <c r="U10" s="105">
        <v>440</v>
      </c>
      <c r="V10" s="105">
        <v>400</v>
      </c>
      <c r="W10" s="104">
        <v>10</v>
      </c>
      <c r="X10" s="105">
        <v>40</v>
      </c>
      <c r="Y10" s="104"/>
      <c r="Z10" s="105"/>
      <c r="AA10" s="101"/>
      <c r="AB10" s="111"/>
      <c r="AC10" s="112"/>
      <c r="AD10" s="102"/>
      <c r="AE10" s="104">
        <v>15</v>
      </c>
      <c r="AF10" s="105">
        <v>66</v>
      </c>
      <c r="AG10" s="104"/>
      <c r="AH10" s="101"/>
      <c r="AI10" s="102"/>
      <c r="AJ10" s="104"/>
    </row>
    <row r="11" spans="1:36" s="113" customFormat="1" ht="16" thickBot="1" x14ac:dyDescent="0.2">
      <c r="A11" s="101">
        <v>2022</v>
      </c>
      <c r="B11" s="102" t="s">
        <v>222</v>
      </c>
      <c r="C11" s="101" t="s">
        <v>214</v>
      </c>
      <c r="D11" s="103">
        <v>4</v>
      </c>
      <c r="E11" s="102">
        <v>32</v>
      </c>
      <c r="F11" s="104" t="s">
        <v>219</v>
      </c>
      <c r="G11" s="104" t="s">
        <v>218</v>
      </c>
      <c r="H11" s="105"/>
      <c r="I11" s="114">
        <v>44812</v>
      </c>
      <c r="J11" s="104"/>
      <c r="K11" s="107"/>
      <c r="L11" s="107">
        <v>2</v>
      </c>
      <c r="M11" s="107">
        <v>2022</v>
      </c>
      <c r="N11" s="101">
        <v>2</v>
      </c>
      <c r="O11" s="112"/>
      <c r="P11" s="115" t="s">
        <v>216</v>
      </c>
      <c r="Q11" s="116" t="s">
        <v>217</v>
      </c>
      <c r="R11" s="104">
        <v>1</v>
      </c>
      <c r="S11" s="104" t="s">
        <v>226</v>
      </c>
      <c r="T11" s="104"/>
      <c r="U11" s="105">
        <v>1100</v>
      </c>
      <c r="V11" s="105">
        <v>1000</v>
      </c>
      <c r="W11" s="104">
        <v>10</v>
      </c>
      <c r="X11" s="105">
        <v>100</v>
      </c>
      <c r="Y11" s="104"/>
      <c r="Z11" s="105"/>
      <c r="AA11" s="101"/>
      <c r="AB11" s="111"/>
      <c r="AC11" s="112"/>
      <c r="AD11" s="102"/>
      <c r="AE11" s="104">
        <v>24</v>
      </c>
      <c r="AF11" s="105">
        <v>240</v>
      </c>
      <c r="AG11" s="104"/>
      <c r="AH11" s="101"/>
      <c r="AI11" s="102"/>
      <c r="AJ11" s="104"/>
    </row>
    <row r="12" spans="1:36" s="134" customFormat="1" ht="16" thickBot="1" x14ac:dyDescent="0.2">
      <c r="A12" s="117">
        <v>2023</v>
      </c>
      <c r="B12" s="118" t="s">
        <v>228</v>
      </c>
      <c r="C12" s="117" t="s">
        <v>214</v>
      </c>
      <c r="D12" s="119">
        <v>4</v>
      </c>
      <c r="E12" s="118">
        <v>32</v>
      </c>
      <c r="F12" s="120" t="s">
        <v>219</v>
      </c>
      <c r="G12" s="120" t="s">
        <v>218</v>
      </c>
      <c r="H12" s="121"/>
      <c r="I12" s="122">
        <v>44942</v>
      </c>
      <c r="J12" s="120"/>
      <c r="K12" s="123"/>
      <c r="L12" s="123">
        <v>1</v>
      </c>
      <c r="M12" s="123">
        <v>2023</v>
      </c>
      <c r="N12" s="117">
        <v>2</v>
      </c>
      <c r="O12" s="124"/>
      <c r="P12" s="125" t="s">
        <v>237</v>
      </c>
      <c r="Q12" s="126" t="s">
        <v>236</v>
      </c>
      <c r="R12" s="127">
        <v>1</v>
      </c>
      <c r="S12" s="120" t="s">
        <v>226</v>
      </c>
      <c r="T12" s="120"/>
      <c r="U12" s="128">
        <v>1320</v>
      </c>
      <c r="V12" s="129">
        <v>1200</v>
      </c>
      <c r="W12" s="130">
        <v>10</v>
      </c>
      <c r="X12" s="131">
        <v>120</v>
      </c>
      <c r="Y12" s="120"/>
      <c r="Z12" s="121"/>
      <c r="AA12" s="117"/>
      <c r="AB12" s="132"/>
      <c r="AC12" s="133"/>
      <c r="AD12" s="118"/>
      <c r="AE12" s="120">
        <v>19</v>
      </c>
      <c r="AF12" s="121">
        <v>228</v>
      </c>
      <c r="AG12" s="120"/>
      <c r="AH12" s="117"/>
      <c r="AI12" s="118"/>
      <c r="AJ12" s="120"/>
    </row>
    <row r="13" spans="1:36" s="134" customFormat="1" ht="16" thickBot="1" x14ac:dyDescent="0.2">
      <c r="A13" s="117">
        <v>2023</v>
      </c>
      <c r="B13" s="118" t="s">
        <v>215</v>
      </c>
      <c r="C13" s="117" t="s">
        <v>214</v>
      </c>
      <c r="D13" s="119">
        <v>4</v>
      </c>
      <c r="E13" s="118">
        <v>32</v>
      </c>
      <c r="F13" s="120" t="s">
        <v>219</v>
      </c>
      <c r="G13" s="120" t="s">
        <v>218</v>
      </c>
      <c r="H13" s="121"/>
      <c r="I13" s="135">
        <v>45145</v>
      </c>
      <c r="J13" s="120"/>
      <c r="K13" s="123"/>
      <c r="L13" s="123">
        <v>2</v>
      </c>
      <c r="M13" s="123">
        <v>2023</v>
      </c>
      <c r="N13" s="117">
        <v>2</v>
      </c>
      <c r="O13" s="124"/>
      <c r="P13" s="125" t="s">
        <v>238</v>
      </c>
      <c r="Q13" s="136" t="s">
        <v>239</v>
      </c>
      <c r="R13" s="127">
        <v>1</v>
      </c>
      <c r="S13" s="120" t="s">
        <v>226</v>
      </c>
      <c r="T13" s="120"/>
      <c r="U13" s="128">
        <v>1320</v>
      </c>
      <c r="V13" s="137">
        <v>1200</v>
      </c>
      <c r="W13" s="130">
        <v>10</v>
      </c>
      <c r="X13" s="131">
        <v>120</v>
      </c>
      <c r="Y13" s="120"/>
      <c r="Z13" s="121"/>
      <c r="AA13" s="117"/>
      <c r="AB13" s="132"/>
      <c r="AC13" s="133"/>
      <c r="AD13" s="118"/>
      <c r="AE13" s="120">
        <v>15</v>
      </c>
      <c r="AF13" s="121">
        <v>180</v>
      </c>
      <c r="AG13" s="120"/>
      <c r="AH13" s="117"/>
      <c r="AI13" s="118"/>
      <c r="AJ13" s="120"/>
    </row>
    <row r="14" spans="1:36" s="134" customFormat="1" ht="16" thickBot="1" x14ac:dyDescent="0.2">
      <c r="A14" s="117">
        <v>2023</v>
      </c>
      <c r="B14" s="118" t="s">
        <v>222</v>
      </c>
      <c r="C14" s="117" t="s">
        <v>214</v>
      </c>
      <c r="D14" s="119">
        <v>4</v>
      </c>
      <c r="E14" s="118">
        <v>32</v>
      </c>
      <c r="F14" s="120" t="s">
        <v>219</v>
      </c>
      <c r="G14" s="120" t="s">
        <v>218</v>
      </c>
      <c r="H14" s="121"/>
      <c r="I14" s="135">
        <v>45215</v>
      </c>
      <c r="J14" s="120"/>
      <c r="K14" s="123"/>
      <c r="L14" s="123">
        <v>3</v>
      </c>
      <c r="M14" s="123">
        <v>2023</v>
      </c>
      <c r="N14" s="117">
        <v>2</v>
      </c>
      <c r="O14" s="133"/>
      <c r="P14" s="185" t="s">
        <v>259</v>
      </c>
      <c r="Q14" s="138" t="s">
        <v>240</v>
      </c>
      <c r="R14" s="127">
        <v>1</v>
      </c>
      <c r="S14" s="120" t="s">
        <v>226</v>
      </c>
      <c r="T14" s="120"/>
      <c r="U14" s="137">
        <v>1320</v>
      </c>
      <c r="V14" s="129">
        <v>1200</v>
      </c>
      <c r="W14" s="130">
        <v>10</v>
      </c>
      <c r="X14" s="131">
        <v>120</v>
      </c>
      <c r="Y14" s="120"/>
      <c r="Z14" s="121"/>
      <c r="AA14" s="117"/>
      <c r="AB14" s="132"/>
      <c r="AC14" s="133"/>
      <c r="AD14" s="118"/>
      <c r="AE14" s="120">
        <v>15</v>
      </c>
      <c r="AF14" s="121">
        <v>180</v>
      </c>
      <c r="AG14" s="120"/>
      <c r="AH14" s="117"/>
      <c r="AI14" s="118"/>
      <c r="AJ14" s="120"/>
    </row>
    <row r="15" spans="1:36" s="134" customFormat="1" ht="16" thickBot="1" x14ac:dyDescent="0.2">
      <c r="A15" s="117">
        <v>2023</v>
      </c>
      <c r="B15" s="118" t="s">
        <v>222</v>
      </c>
      <c r="C15" s="117" t="s">
        <v>214</v>
      </c>
      <c r="D15" s="119">
        <v>4</v>
      </c>
      <c r="E15" s="118">
        <v>32</v>
      </c>
      <c r="F15" s="120" t="s">
        <v>219</v>
      </c>
      <c r="G15" s="120" t="s">
        <v>218</v>
      </c>
      <c r="H15" s="121"/>
      <c r="I15" s="135">
        <v>45252</v>
      </c>
      <c r="J15" s="120"/>
      <c r="K15" s="123"/>
      <c r="L15" s="123">
        <v>4</v>
      </c>
      <c r="M15" s="123">
        <v>2023</v>
      </c>
      <c r="N15" s="117">
        <v>2</v>
      </c>
      <c r="O15" s="139"/>
      <c r="P15" s="140" t="s">
        <v>241</v>
      </c>
      <c r="Q15" s="136" t="s">
        <v>242</v>
      </c>
      <c r="R15" s="127">
        <v>1</v>
      </c>
      <c r="S15" s="120" t="s">
        <v>226</v>
      </c>
      <c r="T15" s="120"/>
      <c r="U15" s="137">
        <v>1100</v>
      </c>
      <c r="V15" s="129">
        <v>1000</v>
      </c>
      <c r="W15" s="130">
        <v>10</v>
      </c>
      <c r="X15" s="131">
        <v>100</v>
      </c>
      <c r="Y15" s="120"/>
      <c r="Z15" s="121"/>
      <c r="AA15" s="117"/>
      <c r="AB15" s="132"/>
      <c r="AC15" s="133"/>
      <c r="AD15" s="118"/>
      <c r="AE15" s="120">
        <v>15</v>
      </c>
      <c r="AF15" s="121">
        <v>150</v>
      </c>
      <c r="AG15" s="120"/>
      <c r="AH15" s="117"/>
      <c r="AI15" s="118"/>
      <c r="AJ15" s="120"/>
    </row>
    <row r="16" spans="1:36" s="158" customFormat="1" ht="16" thickBot="1" x14ac:dyDescent="0.2">
      <c r="A16" s="141">
        <v>2024</v>
      </c>
      <c r="B16" s="142" t="s">
        <v>228</v>
      </c>
      <c r="C16" s="141" t="s">
        <v>214</v>
      </c>
      <c r="D16" s="143">
        <v>4</v>
      </c>
      <c r="E16" s="142">
        <v>32</v>
      </c>
      <c r="F16" s="144" t="s">
        <v>219</v>
      </c>
      <c r="G16" s="144" t="s">
        <v>218</v>
      </c>
      <c r="H16" s="145"/>
      <c r="I16" s="146">
        <v>45372</v>
      </c>
      <c r="J16" s="144"/>
      <c r="K16" s="147"/>
      <c r="L16" s="147">
        <v>1</v>
      </c>
      <c r="M16" s="147">
        <v>2024</v>
      </c>
      <c r="N16" s="141">
        <v>2</v>
      </c>
      <c r="O16" s="148"/>
      <c r="P16" s="149" t="s">
        <v>243</v>
      </c>
      <c r="Q16" s="150" t="s">
        <v>244</v>
      </c>
      <c r="R16" s="151">
        <v>1</v>
      </c>
      <c r="S16" s="144" t="s">
        <v>226</v>
      </c>
      <c r="T16" s="144"/>
      <c r="U16" s="152">
        <v>1100</v>
      </c>
      <c r="V16" s="153">
        <v>1000</v>
      </c>
      <c r="W16" s="154">
        <v>10</v>
      </c>
      <c r="X16" s="155">
        <v>100</v>
      </c>
      <c r="Y16" s="144"/>
      <c r="Z16" s="145"/>
      <c r="AA16" s="141"/>
      <c r="AB16" s="156"/>
      <c r="AC16" s="157"/>
      <c r="AD16" s="142"/>
      <c r="AE16" s="144">
        <v>15</v>
      </c>
      <c r="AF16" s="145">
        <v>150</v>
      </c>
      <c r="AG16" s="144"/>
      <c r="AH16" s="141"/>
      <c r="AI16" s="142"/>
      <c r="AJ16" s="144"/>
    </row>
    <row r="17" spans="1:36" s="158" customFormat="1" ht="16" thickBot="1" x14ac:dyDescent="0.2">
      <c r="A17" s="141">
        <v>2024</v>
      </c>
      <c r="B17" s="142" t="s">
        <v>223</v>
      </c>
      <c r="C17" s="141" t="s">
        <v>214</v>
      </c>
      <c r="D17" s="143">
        <v>4</v>
      </c>
      <c r="E17" s="142">
        <v>32</v>
      </c>
      <c r="F17" s="144" t="s">
        <v>219</v>
      </c>
      <c r="G17" s="144" t="s">
        <v>218</v>
      </c>
      <c r="H17" s="145"/>
      <c r="I17" s="146">
        <v>45419</v>
      </c>
      <c r="J17" s="144"/>
      <c r="K17" s="147"/>
      <c r="L17" s="147">
        <v>2</v>
      </c>
      <c r="M17" s="147">
        <v>2024</v>
      </c>
      <c r="N17" s="141">
        <v>2</v>
      </c>
      <c r="O17" s="148"/>
      <c r="P17" s="149" t="s">
        <v>245</v>
      </c>
      <c r="Q17" s="159" t="s">
        <v>246</v>
      </c>
      <c r="R17" s="151">
        <v>1</v>
      </c>
      <c r="S17" s="144" t="s">
        <v>226</v>
      </c>
      <c r="T17" s="144"/>
      <c r="U17" s="152">
        <v>1200</v>
      </c>
      <c r="V17" s="153">
        <v>1200</v>
      </c>
      <c r="W17" s="154">
        <v>0</v>
      </c>
      <c r="X17" s="155">
        <v>0</v>
      </c>
      <c r="Y17" s="144"/>
      <c r="Z17" s="145"/>
      <c r="AA17" s="141"/>
      <c r="AB17" s="156"/>
      <c r="AC17" s="157"/>
      <c r="AD17" s="142"/>
      <c r="AE17" s="144">
        <v>15</v>
      </c>
      <c r="AF17" s="145">
        <v>180</v>
      </c>
      <c r="AG17" s="144"/>
      <c r="AH17" s="141"/>
      <c r="AI17" s="142"/>
      <c r="AJ17" s="144"/>
    </row>
    <row r="18" spans="1:36" s="158" customFormat="1" ht="16" thickBot="1" x14ac:dyDescent="0.2">
      <c r="A18" s="141">
        <v>2024</v>
      </c>
      <c r="B18" s="142" t="s">
        <v>223</v>
      </c>
      <c r="C18" s="141" t="s">
        <v>214</v>
      </c>
      <c r="D18" s="143">
        <v>4</v>
      </c>
      <c r="E18" s="142">
        <v>32</v>
      </c>
      <c r="F18" s="144" t="s">
        <v>219</v>
      </c>
      <c r="G18" s="144" t="s">
        <v>218</v>
      </c>
      <c r="H18" s="145"/>
      <c r="I18" s="146">
        <v>45430</v>
      </c>
      <c r="J18" s="144"/>
      <c r="K18" s="147"/>
      <c r="L18" s="147">
        <v>3</v>
      </c>
      <c r="M18" s="147">
        <v>2024</v>
      </c>
      <c r="N18" s="141">
        <v>2</v>
      </c>
      <c r="O18" s="148"/>
      <c r="P18" s="149" t="s">
        <v>229</v>
      </c>
      <c r="Q18" s="159" t="s">
        <v>230</v>
      </c>
      <c r="R18" s="151">
        <v>1</v>
      </c>
      <c r="S18" s="144" t="s">
        <v>226</v>
      </c>
      <c r="T18" s="144"/>
      <c r="U18" s="152">
        <v>1320</v>
      </c>
      <c r="V18" s="153">
        <v>1200</v>
      </c>
      <c r="W18" s="154">
        <v>10</v>
      </c>
      <c r="X18" s="155">
        <v>120</v>
      </c>
      <c r="Y18" s="144"/>
      <c r="Z18" s="145"/>
      <c r="AA18" s="141"/>
      <c r="AB18" s="156"/>
      <c r="AC18" s="157"/>
      <c r="AD18" s="142"/>
      <c r="AE18" s="144">
        <v>15</v>
      </c>
      <c r="AF18" s="145">
        <v>180</v>
      </c>
      <c r="AG18" s="144"/>
      <c r="AH18" s="141"/>
      <c r="AI18" s="142"/>
      <c r="AJ18" s="144"/>
    </row>
    <row r="19" spans="1:36" s="158" customFormat="1" ht="16" thickBot="1" x14ac:dyDescent="0.2">
      <c r="A19" s="141">
        <v>2024</v>
      </c>
      <c r="B19" s="142" t="s">
        <v>223</v>
      </c>
      <c r="C19" s="141" t="s">
        <v>214</v>
      </c>
      <c r="D19" s="143">
        <v>4</v>
      </c>
      <c r="E19" s="142">
        <v>32</v>
      </c>
      <c r="F19" s="144" t="s">
        <v>219</v>
      </c>
      <c r="G19" s="144" t="s">
        <v>218</v>
      </c>
      <c r="H19" s="145"/>
      <c r="I19" s="146">
        <v>45455</v>
      </c>
      <c r="J19" s="144"/>
      <c r="K19" s="147"/>
      <c r="L19" s="147">
        <v>4</v>
      </c>
      <c r="M19" s="147">
        <v>2024</v>
      </c>
      <c r="N19" s="141">
        <v>2</v>
      </c>
      <c r="O19" s="148"/>
      <c r="P19" s="149" t="s">
        <v>248</v>
      </c>
      <c r="Q19" s="159" t="s">
        <v>247</v>
      </c>
      <c r="R19" s="151">
        <v>1</v>
      </c>
      <c r="S19" s="144" t="s">
        <v>226</v>
      </c>
      <c r="T19" s="144"/>
      <c r="U19" s="152">
        <v>440</v>
      </c>
      <c r="V19" s="153">
        <v>400</v>
      </c>
      <c r="W19" s="154">
        <v>10</v>
      </c>
      <c r="X19" s="155">
        <v>40</v>
      </c>
      <c r="Y19" s="144"/>
      <c r="Z19" s="145"/>
      <c r="AA19" s="141"/>
      <c r="AB19" s="156"/>
      <c r="AC19" s="157"/>
      <c r="AD19" s="142"/>
      <c r="AE19" s="144">
        <v>15</v>
      </c>
      <c r="AF19" s="145">
        <v>60</v>
      </c>
      <c r="AG19" s="144"/>
      <c r="AH19" s="141"/>
      <c r="AI19" s="142"/>
      <c r="AJ19" s="144"/>
    </row>
    <row r="20" spans="1:36" s="158" customFormat="1" ht="16" thickBot="1" x14ac:dyDescent="0.2">
      <c r="A20" s="141">
        <v>2024</v>
      </c>
      <c r="B20" s="142" t="s">
        <v>222</v>
      </c>
      <c r="C20" s="141" t="s">
        <v>214</v>
      </c>
      <c r="D20" s="143">
        <v>4</v>
      </c>
      <c r="E20" s="142">
        <v>32</v>
      </c>
      <c r="F20" s="144" t="s">
        <v>219</v>
      </c>
      <c r="G20" s="144" t="s">
        <v>218</v>
      </c>
      <c r="H20" s="145"/>
      <c r="I20" s="146">
        <v>45584</v>
      </c>
      <c r="J20" s="144"/>
      <c r="K20" s="147"/>
      <c r="L20" s="147">
        <v>5</v>
      </c>
      <c r="M20" s="147">
        <v>2024</v>
      </c>
      <c r="N20" s="141">
        <v>2</v>
      </c>
      <c r="O20" s="148"/>
      <c r="P20" s="149" t="s">
        <v>249</v>
      </c>
      <c r="Q20" s="159" t="s">
        <v>250</v>
      </c>
      <c r="R20" s="151">
        <v>1</v>
      </c>
      <c r="S20" s="144" t="s">
        <v>226</v>
      </c>
      <c r="T20" s="144"/>
      <c r="U20" s="152">
        <v>220</v>
      </c>
      <c r="V20" s="153">
        <v>200</v>
      </c>
      <c r="W20" s="154">
        <v>10</v>
      </c>
      <c r="X20" s="155">
        <v>20</v>
      </c>
      <c r="Y20" s="144"/>
      <c r="Z20" s="145"/>
      <c r="AA20" s="141"/>
      <c r="AB20" s="156"/>
      <c r="AC20" s="157"/>
      <c r="AD20" s="142"/>
      <c r="AE20" s="144">
        <v>15</v>
      </c>
      <c r="AF20" s="145">
        <v>30</v>
      </c>
      <c r="AG20" s="144"/>
      <c r="AH20" s="141"/>
      <c r="AI20" s="142"/>
      <c r="AJ20" s="144"/>
    </row>
    <row r="21" spans="1:36" s="158" customFormat="1" ht="16" thickBot="1" x14ac:dyDescent="0.2">
      <c r="A21" s="141">
        <v>2024</v>
      </c>
      <c r="B21" s="142" t="s">
        <v>222</v>
      </c>
      <c r="C21" s="141" t="s">
        <v>214</v>
      </c>
      <c r="D21" s="143">
        <v>4</v>
      </c>
      <c r="E21" s="142">
        <v>32</v>
      </c>
      <c r="F21" s="144" t="s">
        <v>219</v>
      </c>
      <c r="G21" s="144" t="s">
        <v>218</v>
      </c>
      <c r="H21" s="145"/>
      <c r="I21" s="146">
        <v>45588</v>
      </c>
      <c r="J21" s="144"/>
      <c r="K21" s="147"/>
      <c r="L21" s="147">
        <v>6</v>
      </c>
      <c r="M21" s="147">
        <v>2024</v>
      </c>
      <c r="N21" s="141">
        <v>2</v>
      </c>
      <c r="O21" s="148"/>
      <c r="P21" s="149" t="s">
        <v>221</v>
      </c>
      <c r="Q21" s="159" t="s">
        <v>220</v>
      </c>
      <c r="R21" s="151">
        <v>1</v>
      </c>
      <c r="S21" s="144" t="s">
        <v>226</v>
      </c>
      <c r="T21" s="144"/>
      <c r="U21" s="152">
        <v>220</v>
      </c>
      <c r="V21" s="153">
        <v>200</v>
      </c>
      <c r="W21" s="154">
        <v>10</v>
      </c>
      <c r="X21" s="155">
        <v>20</v>
      </c>
      <c r="Y21" s="144"/>
      <c r="Z21" s="145"/>
      <c r="AA21" s="141"/>
      <c r="AB21" s="156"/>
      <c r="AC21" s="157"/>
      <c r="AD21" s="142"/>
      <c r="AE21" s="144">
        <v>15</v>
      </c>
      <c r="AF21" s="145">
        <v>30</v>
      </c>
      <c r="AG21" s="144"/>
      <c r="AH21" s="141"/>
      <c r="AI21" s="142"/>
      <c r="AJ21" s="144"/>
    </row>
    <row r="22" spans="1:36" s="158" customFormat="1" ht="16" thickBot="1" x14ac:dyDescent="0.2">
      <c r="A22" s="141">
        <v>2024</v>
      </c>
      <c r="B22" s="142" t="s">
        <v>222</v>
      </c>
      <c r="C22" s="141" t="s">
        <v>214</v>
      </c>
      <c r="D22" s="143">
        <v>4</v>
      </c>
      <c r="E22" s="142">
        <v>32</v>
      </c>
      <c r="F22" s="144" t="s">
        <v>219</v>
      </c>
      <c r="G22" s="144" t="s">
        <v>218</v>
      </c>
      <c r="H22" s="145"/>
      <c r="I22" s="146">
        <v>45610</v>
      </c>
      <c r="J22" s="144"/>
      <c r="K22" s="147"/>
      <c r="L22" s="147">
        <v>7</v>
      </c>
      <c r="M22" s="147">
        <v>2024</v>
      </c>
      <c r="N22" s="141">
        <v>2</v>
      </c>
      <c r="O22" s="148"/>
      <c r="P22" s="149" t="s">
        <v>231</v>
      </c>
      <c r="Q22" s="159" t="s">
        <v>232</v>
      </c>
      <c r="R22" s="151">
        <v>1</v>
      </c>
      <c r="S22" s="144" t="s">
        <v>226</v>
      </c>
      <c r="T22" s="144"/>
      <c r="U22" s="152">
        <v>1078</v>
      </c>
      <c r="V22" s="153">
        <v>980</v>
      </c>
      <c r="W22" s="154">
        <v>10</v>
      </c>
      <c r="X22" s="155">
        <v>98</v>
      </c>
      <c r="Y22" s="144"/>
      <c r="Z22" s="145"/>
      <c r="AA22" s="141"/>
      <c r="AB22" s="156"/>
      <c r="AC22" s="157"/>
      <c r="AD22" s="142"/>
      <c r="AE22" s="144">
        <v>15</v>
      </c>
      <c r="AF22" s="145">
        <v>147</v>
      </c>
      <c r="AG22" s="144"/>
      <c r="AH22" s="141"/>
      <c r="AI22" s="142"/>
      <c r="AJ22" s="144"/>
    </row>
    <row r="23" spans="1:36" s="158" customFormat="1" ht="16" thickBot="1" x14ac:dyDescent="0.2">
      <c r="A23" s="141">
        <v>2024</v>
      </c>
      <c r="B23" s="142" t="s">
        <v>222</v>
      </c>
      <c r="C23" s="141" t="s">
        <v>214</v>
      </c>
      <c r="D23" s="143">
        <v>4</v>
      </c>
      <c r="E23" s="142">
        <v>32</v>
      </c>
      <c r="F23" s="144" t="s">
        <v>219</v>
      </c>
      <c r="G23" s="144" t="s">
        <v>218</v>
      </c>
      <c r="H23" s="145"/>
      <c r="I23" s="146">
        <v>45608</v>
      </c>
      <c r="J23" s="144"/>
      <c r="K23" s="147"/>
      <c r="L23" s="147">
        <v>8</v>
      </c>
      <c r="M23" s="147">
        <v>2024</v>
      </c>
      <c r="N23" s="141">
        <v>2</v>
      </c>
      <c r="O23" s="148"/>
      <c r="P23" s="149" t="s">
        <v>251</v>
      </c>
      <c r="Q23" s="160" t="s">
        <v>252</v>
      </c>
      <c r="R23" s="151">
        <v>1</v>
      </c>
      <c r="S23" s="144" t="s">
        <v>226</v>
      </c>
      <c r="T23" s="144"/>
      <c r="U23" s="152">
        <v>1100</v>
      </c>
      <c r="V23" s="153">
        <v>1000</v>
      </c>
      <c r="W23" s="154">
        <v>10</v>
      </c>
      <c r="X23" s="155">
        <v>100</v>
      </c>
      <c r="Y23" s="144"/>
      <c r="Z23" s="145"/>
      <c r="AA23" s="141"/>
      <c r="AB23" s="156"/>
      <c r="AC23" s="157"/>
      <c r="AD23" s="142"/>
      <c r="AE23" s="144">
        <v>15</v>
      </c>
      <c r="AF23" s="145">
        <v>150</v>
      </c>
      <c r="AG23" s="144"/>
      <c r="AH23" s="141"/>
      <c r="AI23" s="142"/>
      <c r="AJ23" s="144"/>
    </row>
    <row r="24" spans="1:36" s="113" customFormat="1" ht="16" thickBot="1" x14ac:dyDescent="0.2">
      <c r="A24" s="101">
        <v>2025</v>
      </c>
      <c r="B24" s="102" t="s">
        <v>228</v>
      </c>
      <c r="C24" s="101" t="s">
        <v>214</v>
      </c>
      <c r="D24" s="103">
        <v>4</v>
      </c>
      <c r="E24" s="102">
        <v>32</v>
      </c>
      <c r="F24" s="104" t="s">
        <v>219</v>
      </c>
      <c r="G24" s="104" t="s">
        <v>218</v>
      </c>
      <c r="H24" s="105"/>
      <c r="I24" s="114">
        <v>45659</v>
      </c>
      <c r="J24" s="114">
        <v>45659</v>
      </c>
      <c r="K24" s="107"/>
      <c r="L24" s="107">
        <v>1</v>
      </c>
      <c r="M24" s="107">
        <v>2025</v>
      </c>
      <c r="N24" s="101">
        <v>2</v>
      </c>
      <c r="O24" s="183"/>
      <c r="P24" s="184" t="s">
        <v>259</v>
      </c>
      <c r="Q24" s="110" t="s">
        <v>240</v>
      </c>
      <c r="R24" s="104">
        <v>1</v>
      </c>
      <c r="S24" s="104" t="s">
        <v>226</v>
      </c>
      <c r="T24" s="104"/>
      <c r="U24" s="105">
        <v>660</v>
      </c>
      <c r="V24" s="105">
        <v>600</v>
      </c>
      <c r="W24" s="104">
        <v>10</v>
      </c>
      <c r="X24" s="105">
        <v>60</v>
      </c>
      <c r="Y24" s="104"/>
      <c r="Z24" s="105"/>
      <c r="AA24" s="101"/>
      <c r="AB24" s="111"/>
      <c r="AC24" s="112"/>
      <c r="AD24" s="102"/>
      <c r="AE24" s="104">
        <v>15</v>
      </c>
      <c r="AF24" s="105">
        <v>90</v>
      </c>
      <c r="AG24" s="104"/>
      <c r="AH24" s="101"/>
      <c r="AI24" s="102"/>
      <c r="AJ24" s="104"/>
    </row>
    <row r="25" spans="1:36" s="113" customFormat="1" ht="16" thickBot="1" x14ac:dyDescent="0.2">
      <c r="A25" s="101">
        <v>2025</v>
      </c>
      <c r="B25" s="102" t="s">
        <v>228</v>
      </c>
      <c r="C25" s="101" t="s">
        <v>214</v>
      </c>
      <c r="D25" s="103">
        <v>4</v>
      </c>
      <c r="E25" s="102">
        <v>32</v>
      </c>
      <c r="F25" s="104" t="s">
        <v>219</v>
      </c>
      <c r="G25" s="104" t="s">
        <v>218</v>
      </c>
      <c r="H25" s="105"/>
      <c r="I25" s="114">
        <v>45723</v>
      </c>
      <c r="J25" s="114">
        <v>45723</v>
      </c>
      <c r="K25" s="107"/>
      <c r="L25" s="107">
        <v>1</v>
      </c>
      <c r="M25" s="107">
        <v>2025</v>
      </c>
      <c r="N25" s="101">
        <v>2</v>
      </c>
      <c r="O25" s="183"/>
      <c r="P25" s="184" t="s">
        <v>259</v>
      </c>
      <c r="Q25" s="110" t="s">
        <v>240</v>
      </c>
      <c r="R25" s="104">
        <v>1</v>
      </c>
      <c r="S25" s="104" t="s">
        <v>226</v>
      </c>
      <c r="T25" s="104"/>
      <c r="U25" s="105">
        <v>660</v>
      </c>
      <c r="V25" s="105">
        <v>600</v>
      </c>
      <c r="W25" s="104">
        <v>10</v>
      </c>
      <c r="X25" s="105">
        <v>60</v>
      </c>
      <c r="Y25" s="104"/>
      <c r="Z25" s="105"/>
      <c r="AA25" s="101"/>
      <c r="AB25" s="111"/>
      <c r="AC25" s="112"/>
      <c r="AD25" s="102"/>
      <c r="AE25" s="104">
        <v>15</v>
      </c>
      <c r="AF25" s="105">
        <v>90</v>
      </c>
      <c r="AG25" s="104"/>
      <c r="AH25" s="101"/>
      <c r="AI25" s="102"/>
      <c r="AJ25" s="104"/>
    </row>
    <row r="26" spans="1:36" s="41" customFormat="1" ht="16" thickBot="1" x14ac:dyDescent="0.2">
      <c r="A26" s="18"/>
      <c r="B26" s="19"/>
      <c r="C26" s="18"/>
      <c r="D26" s="60"/>
      <c r="E26" s="19"/>
      <c r="F26" s="22"/>
      <c r="G26" s="22"/>
      <c r="H26" s="49"/>
      <c r="I26" s="79"/>
      <c r="J26" s="22"/>
      <c r="K26" s="24"/>
      <c r="L26" s="24"/>
      <c r="M26" s="24"/>
      <c r="N26" s="18"/>
      <c r="O26" s="83"/>
      <c r="P26" s="76"/>
      <c r="Q26" s="99"/>
      <c r="R26" s="20"/>
      <c r="S26" s="22"/>
      <c r="T26" s="22"/>
      <c r="U26" s="82"/>
      <c r="V26" s="84"/>
      <c r="W26" s="77"/>
      <c r="X26" s="85"/>
      <c r="Y26" s="22"/>
      <c r="Z26" s="49"/>
      <c r="AA26" s="18"/>
      <c r="AB26" s="50"/>
      <c r="AC26" s="21"/>
      <c r="AD26" s="19"/>
      <c r="AE26" s="22"/>
      <c r="AF26" s="49"/>
      <c r="AG26" s="22"/>
      <c r="AH26" s="18"/>
      <c r="AI26" s="19"/>
      <c r="AJ26" s="22"/>
    </row>
    <row r="27" spans="1:36" s="41" customFormat="1" ht="16" thickBot="1" x14ac:dyDescent="0.2">
      <c r="A27" s="18"/>
      <c r="B27" s="19"/>
      <c r="C27" s="18"/>
      <c r="D27" s="60"/>
      <c r="E27" s="19"/>
      <c r="F27" s="22"/>
      <c r="G27" s="22"/>
      <c r="H27" s="49"/>
      <c r="I27" s="79"/>
      <c r="J27" s="22"/>
      <c r="K27" s="24"/>
      <c r="L27" s="24"/>
      <c r="M27" s="24"/>
      <c r="N27" s="18"/>
      <c r="O27" s="83"/>
      <c r="P27" s="76"/>
      <c r="Q27" s="99"/>
      <c r="R27" s="20"/>
      <c r="S27" s="22"/>
      <c r="T27" s="22"/>
      <c r="U27" s="82"/>
      <c r="V27" s="84"/>
      <c r="W27" s="77"/>
      <c r="X27" s="85"/>
      <c r="Y27" s="22"/>
      <c r="Z27" s="49"/>
      <c r="AA27" s="18"/>
      <c r="AB27" s="50"/>
      <c r="AC27" s="21"/>
      <c r="AD27" s="19"/>
      <c r="AE27" s="22"/>
      <c r="AF27" s="49"/>
      <c r="AG27" s="22"/>
      <c r="AH27" s="18"/>
      <c r="AI27" s="19"/>
      <c r="AJ27" s="22"/>
    </row>
    <row r="28" spans="1:36" s="41" customFormat="1" ht="16" thickBot="1" x14ac:dyDescent="0.25">
      <c r="A28" s="18"/>
      <c r="B28" s="19"/>
      <c r="C28" s="18"/>
      <c r="D28" s="60"/>
      <c r="E28" s="19"/>
      <c r="F28" s="22"/>
      <c r="G28" s="22"/>
      <c r="H28" s="49"/>
      <c r="I28" s="74"/>
      <c r="J28" s="22"/>
      <c r="K28" s="24"/>
      <c r="L28" s="24"/>
      <c r="M28" s="24"/>
      <c r="N28" s="18"/>
      <c r="O28" s="21"/>
      <c r="P28" s="100"/>
      <c r="Q28" s="92"/>
      <c r="R28" s="20"/>
      <c r="S28" s="22"/>
      <c r="T28" s="22"/>
      <c r="U28" s="75"/>
      <c r="V28" s="73"/>
      <c r="W28" s="77"/>
      <c r="X28" s="73"/>
      <c r="Y28" s="22"/>
      <c r="Z28" s="49"/>
      <c r="AA28" s="18"/>
      <c r="AB28" s="50"/>
      <c r="AC28" s="21"/>
      <c r="AD28" s="19"/>
      <c r="AE28" s="22"/>
      <c r="AF28" s="49"/>
      <c r="AG28" s="22"/>
      <c r="AH28" s="18"/>
      <c r="AI28" s="19"/>
      <c r="AJ28" s="22"/>
    </row>
    <row r="29" spans="1:36" s="41" customFormat="1" ht="16" thickBot="1" x14ac:dyDescent="0.25">
      <c r="A29" s="18" t="s">
        <v>41</v>
      </c>
      <c r="B29" s="19" t="s">
        <v>12</v>
      </c>
      <c r="C29" s="18" t="s">
        <v>84</v>
      </c>
      <c r="D29" s="60" t="s">
        <v>12</v>
      </c>
      <c r="E29" s="19" t="s">
        <v>83</v>
      </c>
      <c r="F29" s="22" t="s">
        <v>12</v>
      </c>
      <c r="G29" s="22" t="s">
        <v>42</v>
      </c>
      <c r="H29" s="49" t="s">
        <v>18</v>
      </c>
      <c r="I29" s="77" t="s">
        <v>36</v>
      </c>
      <c r="J29" s="22" t="s">
        <v>36</v>
      </c>
      <c r="K29" s="24" t="s">
        <v>15</v>
      </c>
      <c r="L29" s="24" t="s">
        <v>15</v>
      </c>
      <c r="M29" s="24" t="s">
        <v>15</v>
      </c>
      <c r="N29" s="18" t="s">
        <v>12</v>
      </c>
      <c r="O29" s="21" t="s">
        <v>12</v>
      </c>
      <c r="P29" s="72" t="s">
        <v>15</v>
      </c>
      <c r="Q29" s="77" t="s">
        <v>13</v>
      </c>
      <c r="R29" s="22" t="s">
        <v>12</v>
      </c>
      <c r="S29" s="22" t="s">
        <v>12</v>
      </c>
      <c r="T29" s="22" t="s">
        <v>12</v>
      </c>
      <c r="U29" s="49" t="s">
        <v>18</v>
      </c>
      <c r="V29" s="49" t="s">
        <v>18</v>
      </c>
      <c r="W29" s="22" t="s">
        <v>28</v>
      </c>
      <c r="X29" s="49" t="s">
        <v>18</v>
      </c>
      <c r="Y29" s="22" t="s">
        <v>28</v>
      </c>
      <c r="Z29" s="49" t="s">
        <v>18</v>
      </c>
      <c r="AA29" s="18" t="s">
        <v>36</v>
      </c>
      <c r="AB29" s="50" t="s">
        <v>18</v>
      </c>
      <c r="AC29" s="21" t="s">
        <v>12</v>
      </c>
      <c r="AD29" s="19" t="s">
        <v>20</v>
      </c>
      <c r="AE29" s="22" t="s">
        <v>28</v>
      </c>
      <c r="AF29" s="49" t="s">
        <v>18</v>
      </c>
      <c r="AG29" s="22" t="s">
        <v>131</v>
      </c>
      <c r="AH29" s="18" t="s">
        <v>84</v>
      </c>
      <c r="AI29" s="19" t="s">
        <v>15</v>
      </c>
      <c r="AJ29" s="22" t="s">
        <v>13</v>
      </c>
    </row>
    <row r="30" spans="1:36" x14ac:dyDescent="0.2">
      <c r="B30" s="5"/>
      <c r="F30" s="5"/>
      <c r="G30" s="56" t="s">
        <v>120</v>
      </c>
      <c r="H30" s="56" t="s">
        <v>120</v>
      </c>
      <c r="I30" s="5"/>
      <c r="J30" s="5"/>
      <c r="K30" s="2"/>
      <c r="L30" s="2"/>
      <c r="M30" s="2"/>
      <c r="R30" s="57" t="s">
        <v>121</v>
      </c>
      <c r="S30" s="57" t="s">
        <v>121</v>
      </c>
      <c r="T30" s="57" t="s">
        <v>121</v>
      </c>
      <c r="AE30" s="56" t="s">
        <v>120</v>
      </c>
      <c r="AF30" s="56" t="s">
        <v>120</v>
      </c>
      <c r="AG30" s="57" t="s">
        <v>121</v>
      </c>
      <c r="AI30" s="5"/>
      <c r="AJ30" s="67"/>
    </row>
    <row r="31" spans="1:36" x14ac:dyDescent="0.2">
      <c r="B31" s="5"/>
      <c r="E31" t="s">
        <v>10</v>
      </c>
      <c r="F31" s="5"/>
      <c r="I31" s="5"/>
      <c r="J31" s="5"/>
      <c r="K31" s="2"/>
      <c r="L31" s="2"/>
      <c r="M31" s="2"/>
      <c r="AI31" s="5"/>
    </row>
    <row r="32" spans="1:36" s="31" customFormat="1" ht="21.75" customHeight="1" x14ac:dyDescent="0.2">
      <c r="F32" s="32">
        <v>1</v>
      </c>
      <c r="G32" s="188" t="s">
        <v>156</v>
      </c>
      <c r="H32" s="189"/>
      <c r="I32" s="189"/>
      <c r="J32" s="189"/>
      <c r="K32" s="189"/>
      <c r="L32" s="189"/>
      <c r="M32" s="189"/>
      <c r="N32" s="189"/>
      <c r="O32" s="189"/>
      <c r="P32" s="189"/>
      <c r="Q32" s="189"/>
      <c r="R32" s="189"/>
      <c r="S32" s="189"/>
      <c r="T32" s="189"/>
      <c r="U32" s="189"/>
      <c r="V32" s="189"/>
      <c r="W32" s="189"/>
      <c r="X32" s="189"/>
      <c r="Y32" s="189"/>
      <c r="Z32" s="189"/>
      <c r="AA32" s="189"/>
      <c r="AB32" s="190"/>
    </row>
    <row r="33" spans="5:28" s="31" customFormat="1" ht="180" customHeight="1" x14ac:dyDescent="0.2">
      <c r="F33" s="32">
        <f xml:space="preserve"> F32+1</f>
        <v>2</v>
      </c>
      <c r="G33" s="188" t="s">
        <v>82</v>
      </c>
      <c r="H33" s="189"/>
      <c r="I33" s="189"/>
      <c r="J33" s="189"/>
      <c r="K33" s="189"/>
      <c r="L33" s="189"/>
      <c r="M33" s="189"/>
      <c r="N33" s="189"/>
      <c r="O33" s="189"/>
      <c r="P33" s="189"/>
      <c r="Q33" s="189"/>
      <c r="R33" s="189"/>
      <c r="S33" s="189"/>
      <c r="T33" s="189"/>
      <c r="U33" s="189"/>
      <c r="V33" s="189"/>
      <c r="W33" s="189"/>
      <c r="X33" s="189"/>
      <c r="Y33" s="189"/>
      <c r="Z33" s="189"/>
      <c r="AA33" s="189"/>
      <c r="AB33" s="190"/>
    </row>
    <row r="34" spans="5:28" s="31" customFormat="1" ht="109.5" customHeight="1" x14ac:dyDescent="0.2">
      <c r="F34" s="32">
        <f t="shared" ref="F34:F71" si="0" xml:space="preserve"> F33+1</f>
        <v>3</v>
      </c>
      <c r="G34" s="188" t="s">
        <v>200</v>
      </c>
      <c r="H34" s="189"/>
      <c r="I34" s="189"/>
      <c r="J34" s="189"/>
      <c r="K34" s="189"/>
      <c r="L34" s="189"/>
      <c r="M34" s="189"/>
      <c r="N34" s="189"/>
      <c r="O34" s="189"/>
      <c r="P34" s="189"/>
      <c r="Q34" s="189"/>
      <c r="R34" s="189"/>
      <c r="S34" s="189"/>
      <c r="T34" s="189"/>
      <c r="U34" s="189"/>
      <c r="V34" s="189"/>
      <c r="W34" s="189"/>
      <c r="X34" s="189"/>
      <c r="Y34" s="189"/>
      <c r="Z34" s="189"/>
      <c r="AA34" s="189"/>
      <c r="AB34" s="190"/>
    </row>
    <row r="35" spans="5:28" s="31" customFormat="1" ht="15" customHeight="1" x14ac:dyDescent="0.2">
      <c r="F35" s="32">
        <f t="shared" si="0"/>
        <v>4</v>
      </c>
      <c r="G35" s="188" t="s">
        <v>29</v>
      </c>
      <c r="H35" s="189"/>
      <c r="I35" s="189"/>
      <c r="J35" s="189"/>
      <c r="K35" s="189"/>
      <c r="L35" s="189"/>
      <c r="M35" s="189"/>
      <c r="N35" s="189"/>
      <c r="O35" s="189"/>
      <c r="P35" s="189"/>
      <c r="Q35" s="189"/>
      <c r="R35" s="189"/>
      <c r="S35" s="189"/>
      <c r="T35" s="189"/>
      <c r="U35" s="189"/>
      <c r="V35" s="189"/>
      <c r="W35" s="189"/>
      <c r="X35" s="189"/>
      <c r="Y35" s="189"/>
      <c r="Z35" s="189"/>
      <c r="AA35" s="189"/>
      <c r="AB35" s="190"/>
    </row>
    <row r="36" spans="5:28" s="31" customFormat="1" ht="36" customHeight="1" x14ac:dyDescent="0.2">
      <c r="F36" s="32">
        <f t="shared" si="0"/>
        <v>5</v>
      </c>
      <c r="G36" s="188" t="s">
        <v>37</v>
      </c>
      <c r="H36" s="189"/>
      <c r="I36" s="189"/>
      <c r="J36" s="189"/>
      <c r="K36" s="189"/>
      <c r="L36" s="189"/>
      <c r="M36" s="189"/>
      <c r="N36" s="189"/>
      <c r="O36" s="189"/>
      <c r="P36" s="189"/>
      <c r="Q36" s="189"/>
      <c r="R36" s="189"/>
      <c r="S36" s="189"/>
      <c r="T36" s="189"/>
      <c r="U36" s="189"/>
      <c r="V36" s="189"/>
      <c r="W36" s="189"/>
      <c r="X36" s="189"/>
      <c r="Y36" s="189"/>
      <c r="Z36" s="189"/>
      <c r="AA36" s="189"/>
      <c r="AB36" s="190"/>
    </row>
    <row r="37" spans="5:28" s="31" customFormat="1" ht="399" customHeight="1" x14ac:dyDescent="0.2">
      <c r="F37" s="63">
        <f t="shared" si="0"/>
        <v>6</v>
      </c>
      <c r="G37" s="188" t="s">
        <v>155</v>
      </c>
      <c r="H37" s="189"/>
      <c r="I37" s="189"/>
      <c r="J37" s="189"/>
      <c r="K37" s="189"/>
      <c r="L37" s="189"/>
      <c r="M37" s="189"/>
      <c r="N37" s="189"/>
      <c r="O37" s="189"/>
      <c r="P37" s="189"/>
      <c r="Q37" s="189"/>
      <c r="R37" s="189"/>
      <c r="S37" s="189"/>
      <c r="T37" s="189"/>
      <c r="U37" s="189"/>
      <c r="V37" s="189"/>
      <c r="W37" s="189"/>
      <c r="X37" s="189"/>
      <c r="Y37" s="189"/>
      <c r="Z37" s="189"/>
      <c r="AA37" s="189"/>
      <c r="AB37" s="190"/>
    </row>
    <row r="38" spans="5:28" s="31" customFormat="1" ht="69" customHeight="1" x14ac:dyDescent="0.2">
      <c r="F38" s="32">
        <f t="shared" si="0"/>
        <v>7</v>
      </c>
      <c r="G38" s="188" t="s">
        <v>191</v>
      </c>
      <c r="H38" s="189"/>
      <c r="I38" s="189"/>
      <c r="J38" s="189"/>
      <c r="K38" s="189"/>
      <c r="L38" s="189"/>
      <c r="M38" s="189"/>
      <c r="N38" s="189"/>
      <c r="O38" s="189"/>
      <c r="P38" s="189"/>
      <c r="Q38" s="189"/>
      <c r="R38" s="189"/>
      <c r="S38" s="189"/>
      <c r="T38" s="189"/>
      <c r="U38" s="189"/>
      <c r="V38" s="189"/>
      <c r="W38" s="189"/>
      <c r="X38" s="189"/>
      <c r="Y38" s="189"/>
      <c r="Z38" s="189"/>
      <c r="AA38" s="189"/>
      <c r="AB38" s="190"/>
    </row>
    <row r="39" spans="5:28" s="31" customFormat="1" ht="50.5" customHeight="1" x14ac:dyDescent="0.2">
      <c r="F39" s="32">
        <f t="shared" si="0"/>
        <v>8</v>
      </c>
      <c r="G39" s="188" t="s">
        <v>34</v>
      </c>
      <c r="H39" s="189"/>
      <c r="I39" s="189"/>
      <c r="J39" s="189"/>
      <c r="K39" s="189"/>
      <c r="L39" s="189"/>
      <c r="M39" s="189"/>
      <c r="N39" s="189"/>
      <c r="O39" s="189"/>
      <c r="P39" s="189"/>
      <c r="Q39" s="189"/>
      <c r="R39" s="189"/>
      <c r="S39" s="189"/>
      <c r="T39" s="189"/>
      <c r="U39" s="189"/>
      <c r="V39" s="189"/>
      <c r="W39" s="189"/>
      <c r="X39" s="189"/>
      <c r="Y39" s="189"/>
      <c r="Z39" s="189"/>
      <c r="AA39" s="189"/>
      <c r="AB39" s="190"/>
    </row>
    <row r="40" spans="5:28" s="31" customFormat="1" ht="230.25" customHeight="1" x14ac:dyDescent="0.2">
      <c r="F40" s="51">
        <f t="shared" si="0"/>
        <v>9</v>
      </c>
      <c r="G40" s="188" t="s">
        <v>129</v>
      </c>
      <c r="H40" s="189"/>
      <c r="I40" s="189"/>
      <c r="J40" s="189"/>
      <c r="K40" s="189"/>
      <c r="L40" s="189"/>
      <c r="M40" s="189"/>
      <c r="N40" s="189"/>
      <c r="O40" s="189"/>
      <c r="P40" s="189"/>
      <c r="Q40" s="189"/>
      <c r="R40" s="189"/>
      <c r="S40" s="189"/>
      <c r="T40" s="189"/>
      <c r="U40" s="189"/>
      <c r="V40" s="189"/>
      <c r="W40" s="189"/>
      <c r="X40" s="189"/>
      <c r="Y40" s="189"/>
      <c r="Z40" s="189"/>
      <c r="AA40" s="189"/>
      <c r="AB40" s="190"/>
    </row>
    <row r="41" spans="5:28" s="52" customFormat="1" ht="168" customHeight="1" x14ac:dyDescent="0.2">
      <c r="F41" s="62">
        <f xml:space="preserve"> F40+1</f>
        <v>10</v>
      </c>
      <c r="G41" s="188" t="s">
        <v>165</v>
      </c>
      <c r="H41" s="189"/>
      <c r="I41" s="189"/>
      <c r="J41" s="189"/>
      <c r="K41" s="189"/>
      <c r="L41" s="189"/>
      <c r="M41" s="189"/>
      <c r="N41" s="189"/>
      <c r="O41" s="189"/>
      <c r="P41" s="189"/>
      <c r="Q41" s="189"/>
      <c r="R41" s="189"/>
      <c r="S41" s="189"/>
      <c r="T41" s="189"/>
      <c r="U41" s="189"/>
      <c r="V41" s="189"/>
      <c r="W41" s="189"/>
      <c r="X41" s="189"/>
      <c r="Y41" s="189"/>
      <c r="Z41" s="189"/>
      <c r="AA41" s="189"/>
      <c r="AB41" s="190"/>
    </row>
    <row r="42" spans="5:28" s="52" customFormat="1" ht="193.5" customHeight="1" x14ac:dyDescent="0.2">
      <c r="F42" s="51">
        <f t="shared" si="0"/>
        <v>11</v>
      </c>
      <c r="G42" s="188" t="s">
        <v>195</v>
      </c>
      <c r="H42" s="189"/>
      <c r="I42" s="189"/>
      <c r="J42" s="189"/>
      <c r="K42" s="189"/>
      <c r="L42" s="189"/>
      <c r="M42" s="189"/>
      <c r="N42" s="189"/>
      <c r="O42" s="189"/>
      <c r="P42" s="189"/>
      <c r="Q42" s="189"/>
      <c r="R42" s="189"/>
      <c r="S42" s="189"/>
      <c r="T42" s="189"/>
      <c r="U42" s="189"/>
      <c r="V42" s="189"/>
      <c r="W42" s="189"/>
      <c r="X42" s="189"/>
      <c r="Y42" s="189"/>
      <c r="Z42" s="189"/>
      <c r="AA42" s="189"/>
      <c r="AB42" s="190"/>
    </row>
    <row r="43" spans="5:28" s="52" customFormat="1" ht="51" customHeight="1" x14ac:dyDescent="0.2">
      <c r="F43" s="51">
        <f t="shared" si="0"/>
        <v>12</v>
      </c>
      <c r="G43" s="188" t="s">
        <v>179</v>
      </c>
      <c r="H43" s="189"/>
      <c r="I43" s="189"/>
      <c r="J43" s="189"/>
      <c r="K43" s="189"/>
      <c r="L43" s="189"/>
      <c r="M43" s="189"/>
      <c r="N43" s="189"/>
      <c r="O43" s="189"/>
      <c r="P43" s="189"/>
      <c r="Q43" s="189"/>
      <c r="R43" s="189"/>
      <c r="S43" s="189"/>
      <c r="T43" s="189"/>
      <c r="U43" s="189"/>
      <c r="V43" s="189"/>
      <c r="W43" s="189"/>
      <c r="X43" s="189"/>
      <c r="Y43" s="189"/>
      <c r="Z43" s="189"/>
      <c r="AA43" s="189"/>
      <c r="AB43" s="190"/>
    </row>
    <row r="44" spans="5:28" s="52" customFormat="1" ht="105.75" customHeight="1" x14ac:dyDescent="0.2">
      <c r="F44" s="51">
        <f t="shared" si="0"/>
        <v>13</v>
      </c>
      <c r="G44" s="188" t="s">
        <v>207</v>
      </c>
      <c r="H44" s="189"/>
      <c r="I44" s="189"/>
      <c r="J44" s="189"/>
      <c r="K44" s="189"/>
      <c r="L44" s="189"/>
      <c r="M44" s="189"/>
      <c r="N44" s="189"/>
      <c r="O44" s="189"/>
      <c r="P44" s="189"/>
      <c r="Q44" s="189"/>
      <c r="R44" s="189"/>
      <c r="S44" s="189"/>
      <c r="T44" s="189"/>
      <c r="U44" s="189"/>
      <c r="V44" s="189"/>
      <c r="W44" s="189"/>
      <c r="X44" s="189"/>
      <c r="Y44" s="189"/>
      <c r="Z44" s="189"/>
      <c r="AA44" s="189"/>
      <c r="AB44" s="190"/>
    </row>
    <row r="45" spans="5:28" s="52" customFormat="1" ht="51" customHeight="1" x14ac:dyDescent="0.2">
      <c r="F45" s="51">
        <f t="shared" si="0"/>
        <v>14</v>
      </c>
      <c r="G45" s="188" t="s">
        <v>185</v>
      </c>
      <c r="H45" s="189"/>
      <c r="I45" s="189"/>
      <c r="J45" s="189"/>
      <c r="K45" s="189"/>
      <c r="L45" s="189"/>
      <c r="M45" s="189"/>
      <c r="N45" s="189"/>
      <c r="O45" s="189"/>
      <c r="P45" s="189"/>
      <c r="Q45" s="189"/>
      <c r="R45" s="189"/>
      <c r="S45" s="189"/>
      <c r="T45" s="189"/>
      <c r="U45" s="189"/>
      <c r="V45" s="189"/>
      <c r="W45" s="189"/>
      <c r="X45" s="189"/>
      <c r="Y45" s="189"/>
      <c r="Z45" s="189"/>
      <c r="AA45" s="189"/>
      <c r="AB45" s="190"/>
    </row>
    <row r="46" spans="5:28" s="52" customFormat="1" ht="30.5" customHeight="1" x14ac:dyDescent="0.2">
      <c r="F46" s="62">
        <f t="shared" si="0"/>
        <v>15</v>
      </c>
      <c r="G46" s="188" t="s">
        <v>97</v>
      </c>
      <c r="H46" s="189"/>
      <c r="I46" s="189"/>
      <c r="J46" s="189"/>
      <c r="K46" s="189"/>
      <c r="L46" s="189"/>
      <c r="M46" s="189"/>
      <c r="N46" s="189"/>
      <c r="O46" s="189"/>
      <c r="P46" s="189"/>
      <c r="Q46" s="189"/>
      <c r="R46" s="189"/>
      <c r="S46" s="189"/>
      <c r="T46" s="189"/>
      <c r="U46" s="189"/>
      <c r="V46" s="189"/>
      <c r="W46" s="189"/>
      <c r="X46" s="189"/>
      <c r="Y46" s="189"/>
      <c r="Z46" s="189"/>
      <c r="AA46" s="189"/>
      <c r="AB46" s="190"/>
    </row>
    <row r="47" spans="5:28" s="52" customFormat="1" ht="341.25" customHeight="1" x14ac:dyDescent="0.2">
      <c r="E47" s="69"/>
      <c r="F47" s="51">
        <f t="shared" si="0"/>
        <v>16</v>
      </c>
      <c r="G47" s="188" t="s">
        <v>201</v>
      </c>
      <c r="H47" s="189"/>
      <c r="I47" s="189"/>
      <c r="J47" s="189"/>
      <c r="K47" s="189"/>
      <c r="L47" s="189"/>
      <c r="M47" s="189"/>
      <c r="N47" s="189"/>
      <c r="O47" s="189"/>
      <c r="P47" s="189"/>
      <c r="Q47" s="189"/>
      <c r="R47" s="189"/>
      <c r="S47" s="189"/>
      <c r="T47" s="189"/>
      <c r="U47" s="189"/>
      <c r="V47" s="189"/>
      <c r="W47" s="189"/>
      <c r="X47" s="189"/>
      <c r="Y47" s="189"/>
      <c r="Z47" s="189"/>
      <c r="AA47" s="189"/>
      <c r="AB47" s="190"/>
    </row>
    <row r="48" spans="5:28" s="52" customFormat="1" x14ac:dyDescent="0.2">
      <c r="F48" s="62">
        <f t="shared" si="0"/>
        <v>17</v>
      </c>
      <c r="G48" s="188" t="s">
        <v>101</v>
      </c>
      <c r="H48" s="189"/>
      <c r="I48" s="189"/>
      <c r="J48" s="189"/>
      <c r="K48" s="189"/>
      <c r="L48" s="189"/>
      <c r="M48" s="189"/>
      <c r="N48" s="189"/>
      <c r="O48" s="189"/>
      <c r="P48" s="189"/>
      <c r="Q48" s="189"/>
      <c r="R48" s="189"/>
      <c r="S48" s="189"/>
      <c r="T48" s="189"/>
      <c r="U48" s="189"/>
      <c r="V48" s="189"/>
      <c r="W48" s="189"/>
      <c r="X48" s="189"/>
      <c r="Y48" s="189"/>
      <c r="Z48" s="189"/>
      <c r="AA48" s="189"/>
      <c r="AB48" s="190"/>
    </row>
    <row r="49" spans="6:28" s="52" customFormat="1" ht="53.25" customHeight="1" x14ac:dyDescent="0.2">
      <c r="F49" s="61">
        <f t="shared" si="0"/>
        <v>18</v>
      </c>
      <c r="G49" s="188" t="s">
        <v>133</v>
      </c>
      <c r="H49" s="189"/>
      <c r="I49" s="189"/>
      <c r="J49" s="189"/>
      <c r="K49" s="189"/>
      <c r="L49" s="189"/>
      <c r="M49" s="189"/>
      <c r="N49" s="189"/>
      <c r="O49" s="189"/>
      <c r="P49" s="189"/>
      <c r="Q49" s="189"/>
      <c r="R49" s="189"/>
      <c r="S49" s="189"/>
      <c r="T49" s="189"/>
      <c r="U49" s="189"/>
      <c r="V49" s="189"/>
      <c r="W49" s="189"/>
      <c r="X49" s="189"/>
      <c r="Y49" s="189"/>
      <c r="Z49" s="189"/>
      <c r="AA49" s="189"/>
      <c r="AB49" s="190"/>
    </row>
    <row r="50" spans="6:28" s="52" customFormat="1" ht="100.5" customHeight="1" x14ac:dyDescent="0.2">
      <c r="F50" s="61">
        <f t="shared" si="0"/>
        <v>19</v>
      </c>
      <c r="G50" s="188" t="s">
        <v>167</v>
      </c>
      <c r="H50" s="189"/>
      <c r="I50" s="189"/>
      <c r="J50" s="189"/>
      <c r="K50" s="189"/>
      <c r="L50" s="189"/>
      <c r="M50" s="189"/>
      <c r="N50" s="189"/>
      <c r="O50" s="189"/>
      <c r="P50" s="189"/>
      <c r="Q50" s="189"/>
      <c r="R50" s="189"/>
      <c r="S50" s="189"/>
      <c r="T50" s="189"/>
      <c r="U50" s="189"/>
      <c r="V50" s="189"/>
      <c r="W50" s="189"/>
      <c r="X50" s="189"/>
      <c r="Y50" s="189"/>
      <c r="Z50" s="189"/>
      <c r="AA50" s="189"/>
      <c r="AB50" s="190"/>
    </row>
    <row r="51" spans="6:28" s="52" customFormat="1" ht="141" customHeight="1" x14ac:dyDescent="0.2">
      <c r="F51" s="61">
        <f t="shared" si="0"/>
        <v>20</v>
      </c>
      <c r="G51" s="188" t="s">
        <v>168</v>
      </c>
      <c r="H51" s="189"/>
      <c r="I51" s="189"/>
      <c r="J51" s="189"/>
      <c r="K51" s="189"/>
      <c r="L51" s="189"/>
      <c r="M51" s="189"/>
      <c r="N51" s="189"/>
      <c r="O51" s="189"/>
      <c r="P51" s="189"/>
      <c r="Q51" s="189"/>
      <c r="R51" s="189"/>
      <c r="S51" s="189"/>
      <c r="T51" s="189"/>
      <c r="U51" s="189"/>
      <c r="V51" s="189"/>
      <c r="W51" s="189"/>
      <c r="X51" s="189"/>
      <c r="Y51" s="189"/>
      <c r="Z51" s="189"/>
      <c r="AA51" s="189"/>
      <c r="AB51" s="190"/>
    </row>
    <row r="52" spans="6:28" s="52" customFormat="1" ht="82.5" customHeight="1" x14ac:dyDescent="0.2">
      <c r="F52" s="61">
        <f t="shared" si="0"/>
        <v>21</v>
      </c>
      <c r="G52" s="188" t="s">
        <v>199</v>
      </c>
      <c r="H52" s="189"/>
      <c r="I52" s="189"/>
      <c r="J52" s="189"/>
      <c r="K52" s="189"/>
      <c r="L52" s="189"/>
      <c r="M52" s="189"/>
      <c r="N52" s="189"/>
      <c r="O52" s="189"/>
      <c r="P52" s="189"/>
      <c r="Q52" s="189"/>
      <c r="R52" s="189"/>
      <c r="S52" s="189"/>
      <c r="T52" s="189"/>
      <c r="U52" s="189"/>
      <c r="V52" s="189"/>
      <c r="W52" s="189"/>
      <c r="X52" s="189"/>
      <c r="Y52" s="189"/>
      <c r="Z52" s="189"/>
      <c r="AA52" s="189"/>
      <c r="AB52" s="190"/>
    </row>
    <row r="53" spans="6:28" s="52" customFormat="1" ht="146.5" customHeight="1" x14ac:dyDescent="0.2">
      <c r="F53" s="61">
        <f t="shared" si="0"/>
        <v>22</v>
      </c>
      <c r="G53" s="188" t="s">
        <v>169</v>
      </c>
      <c r="H53" s="189"/>
      <c r="I53" s="189"/>
      <c r="J53" s="189"/>
      <c r="K53" s="189"/>
      <c r="L53" s="189"/>
      <c r="M53" s="189"/>
      <c r="N53" s="189"/>
      <c r="O53" s="189"/>
      <c r="P53" s="189"/>
      <c r="Q53" s="189"/>
      <c r="R53" s="189"/>
      <c r="S53" s="189"/>
      <c r="T53" s="189"/>
      <c r="U53" s="189"/>
      <c r="V53" s="189"/>
      <c r="W53" s="189"/>
      <c r="X53" s="189"/>
      <c r="Y53" s="189"/>
      <c r="Z53" s="189"/>
      <c r="AA53" s="189"/>
      <c r="AB53" s="190"/>
    </row>
    <row r="54" spans="6:28" s="52" customFormat="1" ht="63.75" customHeight="1" x14ac:dyDescent="0.2">
      <c r="F54" s="61">
        <f t="shared" si="0"/>
        <v>23</v>
      </c>
      <c r="G54" s="188" t="s">
        <v>176</v>
      </c>
      <c r="H54" s="189"/>
      <c r="I54" s="189"/>
      <c r="J54" s="189"/>
      <c r="K54" s="189"/>
      <c r="L54" s="189"/>
      <c r="M54" s="189"/>
      <c r="N54" s="189"/>
      <c r="O54" s="189"/>
      <c r="P54" s="189"/>
      <c r="Q54" s="189"/>
      <c r="R54" s="189"/>
      <c r="S54" s="189"/>
      <c r="T54" s="189"/>
      <c r="U54" s="189"/>
      <c r="V54" s="189"/>
      <c r="W54" s="189"/>
      <c r="X54" s="189"/>
      <c r="Y54" s="189"/>
      <c r="Z54" s="189"/>
      <c r="AA54" s="189"/>
      <c r="AB54" s="190"/>
    </row>
    <row r="55" spans="6:28" s="52" customFormat="1" ht="37.5" customHeight="1" x14ac:dyDescent="0.2">
      <c r="F55" s="61">
        <f t="shared" si="0"/>
        <v>24</v>
      </c>
      <c r="G55" s="188" t="s">
        <v>135</v>
      </c>
      <c r="H55" s="189"/>
      <c r="I55" s="189"/>
      <c r="J55" s="189"/>
      <c r="K55" s="189"/>
      <c r="L55" s="189"/>
      <c r="M55" s="189"/>
      <c r="N55" s="189"/>
      <c r="O55" s="189"/>
      <c r="P55" s="189"/>
      <c r="Q55" s="189"/>
      <c r="R55" s="189"/>
      <c r="S55" s="189"/>
      <c r="T55" s="189"/>
      <c r="U55" s="189"/>
      <c r="V55" s="189"/>
      <c r="W55" s="189"/>
      <c r="X55" s="189"/>
      <c r="Y55" s="189"/>
      <c r="Z55" s="189"/>
      <c r="AA55" s="189"/>
      <c r="AB55" s="190"/>
    </row>
    <row r="56" spans="6:28" s="52" customFormat="1" ht="42" customHeight="1" x14ac:dyDescent="0.2">
      <c r="F56" s="61">
        <f t="shared" si="0"/>
        <v>25</v>
      </c>
      <c r="G56" s="188" t="s">
        <v>136</v>
      </c>
      <c r="H56" s="189"/>
      <c r="I56" s="189"/>
      <c r="J56" s="189"/>
      <c r="K56" s="189"/>
      <c r="L56" s="189"/>
      <c r="M56" s="189"/>
      <c r="N56" s="189"/>
      <c r="O56" s="189"/>
      <c r="P56" s="189"/>
      <c r="Q56" s="189"/>
      <c r="R56" s="189"/>
      <c r="S56" s="189"/>
      <c r="T56" s="189"/>
      <c r="U56" s="189"/>
      <c r="V56" s="189"/>
      <c r="W56" s="189"/>
      <c r="X56" s="189"/>
      <c r="Y56" s="189"/>
      <c r="Z56" s="189"/>
      <c r="AA56" s="189"/>
      <c r="AB56" s="190"/>
    </row>
    <row r="57" spans="6:28" s="52" customFormat="1" ht="130.5" customHeight="1" x14ac:dyDescent="0.2">
      <c r="F57" s="61">
        <f t="shared" si="0"/>
        <v>26</v>
      </c>
      <c r="G57" s="188" t="s">
        <v>158</v>
      </c>
      <c r="H57" s="189"/>
      <c r="I57" s="189"/>
      <c r="J57" s="189"/>
      <c r="K57" s="189"/>
      <c r="L57" s="189"/>
      <c r="M57" s="189"/>
      <c r="N57" s="189"/>
      <c r="O57" s="189"/>
      <c r="P57" s="189"/>
      <c r="Q57" s="189"/>
      <c r="R57" s="189"/>
      <c r="S57" s="189"/>
      <c r="T57" s="189"/>
      <c r="U57" s="189"/>
      <c r="V57" s="189"/>
      <c r="W57" s="189"/>
      <c r="X57" s="189"/>
      <c r="Y57" s="189"/>
      <c r="Z57" s="189"/>
      <c r="AA57" s="189"/>
      <c r="AB57" s="190"/>
    </row>
    <row r="58" spans="6:28" s="52" customFormat="1" ht="61.5" customHeight="1" x14ac:dyDescent="0.2">
      <c r="F58" s="61">
        <f t="shared" si="0"/>
        <v>27</v>
      </c>
      <c r="G58" s="188" t="s">
        <v>182</v>
      </c>
      <c r="H58" s="189"/>
      <c r="I58" s="189"/>
      <c r="J58" s="189"/>
      <c r="K58" s="189"/>
      <c r="L58" s="189"/>
      <c r="M58" s="189"/>
      <c r="N58" s="189"/>
      <c r="O58" s="189"/>
      <c r="P58" s="189"/>
      <c r="Q58" s="189"/>
      <c r="R58" s="189"/>
      <c r="S58" s="189"/>
      <c r="T58" s="189"/>
      <c r="U58" s="189"/>
      <c r="V58" s="189"/>
      <c r="W58" s="189"/>
      <c r="X58" s="189"/>
      <c r="Y58" s="189"/>
      <c r="Z58" s="189"/>
      <c r="AA58" s="189"/>
      <c r="AB58" s="190"/>
    </row>
    <row r="59" spans="6:28" s="52" customFormat="1" ht="89.25" customHeight="1" x14ac:dyDescent="0.2">
      <c r="F59" s="61">
        <f t="shared" si="0"/>
        <v>28</v>
      </c>
      <c r="G59" s="188" t="s">
        <v>134</v>
      </c>
      <c r="H59" s="189"/>
      <c r="I59" s="189"/>
      <c r="J59" s="189"/>
      <c r="K59" s="189"/>
      <c r="L59" s="189"/>
      <c r="M59" s="189"/>
      <c r="N59" s="189"/>
      <c r="O59" s="189"/>
      <c r="P59" s="189"/>
      <c r="Q59" s="189"/>
      <c r="R59" s="189"/>
      <c r="S59" s="189"/>
      <c r="T59" s="189"/>
      <c r="U59" s="189"/>
      <c r="V59" s="189"/>
      <c r="W59" s="189"/>
      <c r="X59" s="189"/>
      <c r="Y59" s="189"/>
      <c r="Z59" s="189"/>
      <c r="AA59" s="189"/>
      <c r="AB59" s="190"/>
    </row>
    <row r="60" spans="6:28" s="52" customFormat="1" ht="87" customHeight="1" x14ac:dyDescent="0.2">
      <c r="F60" s="61">
        <f t="shared" si="0"/>
        <v>29</v>
      </c>
      <c r="G60" s="188" t="s">
        <v>140</v>
      </c>
      <c r="H60" s="189"/>
      <c r="I60" s="189"/>
      <c r="J60" s="189"/>
      <c r="K60" s="189"/>
      <c r="L60" s="189"/>
      <c r="M60" s="189"/>
      <c r="N60" s="189"/>
      <c r="O60" s="189"/>
      <c r="P60" s="189"/>
      <c r="Q60" s="189"/>
      <c r="R60" s="189"/>
      <c r="S60" s="189"/>
      <c r="T60" s="189"/>
      <c r="U60" s="189"/>
      <c r="V60" s="189"/>
      <c r="W60" s="189"/>
      <c r="X60" s="189"/>
      <c r="Y60" s="189"/>
      <c r="Z60" s="189"/>
      <c r="AA60" s="189"/>
      <c r="AB60" s="190"/>
    </row>
    <row r="61" spans="6:28" s="52" customFormat="1" ht="54" customHeight="1" x14ac:dyDescent="0.2">
      <c r="F61" s="61">
        <f t="shared" si="0"/>
        <v>30</v>
      </c>
      <c r="G61" s="188" t="s">
        <v>137</v>
      </c>
      <c r="H61" s="189"/>
      <c r="I61" s="189"/>
      <c r="J61" s="189"/>
      <c r="K61" s="189"/>
      <c r="L61" s="189"/>
      <c r="M61" s="189"/>
      <c r="N61" s="189"/>
      <c r="O61" s="189"/>
      <c r="P61" s="189"/>
      <c r="Q61" s="189"/>
      <c r="R61" s="189"/>
      <c r="S61" s="189"/>
      <c r="T61" s="189"/>
      <c r="U61" s="189"/>
      <c r="V61" s="189"/>
      <c r="W61" s="189"/>
      <c r="X61" s="189"/>
      <c r="Y61" s="189"/>
      <c r="Z61" s="189"/>
      <c r="AA61" s="189"/>
      <c r="AB61" s="190"/>
    </row>
    <row r="62" spans="6:28" s="52" customFormat="1" ht="197.25" customHeight="1" x14ac:dyDescent="0.2">
      <c r="F62" s="61">
        <f t="shared" si="0"/>
        <v>31</v>
      </c>
      <c r="G62" s="188" t="s">
        <v>183</v>
      </c>
      <c r="H62" s="189"/>
      <c r="I62" s="189"/>
      <c r="J62" s="189"/>
      <c r="K62" s="189"/>
      <c r="L62" s="189"/>
      <c r="M62" s="189"/>
      <c r="N62" s="189"/>
      <c r="O62" s="189"/>
      <c r="P62" s="189"/>
      <c r="Q62" s="189"/>
      <c r="R62" s="189"/>
      <c r="S62" s="189"/>
      <c r="T62" s="189"/>
      <c r="U62" s="189"/>
      <c r="V62" s="189"/>
      <c r="W62" s="189"/>
      <c r="X62" s="189"/>
      <c r="Y62" s="189"/>
      <c r="Z62" s="189"/>
      <c r="AA62" s="189"/>
      <c r="AB62" s="190"/>
    </row>
    <row r="63" spans="6:28" s="52" customFormat="1" ht="55.5" customHeight="1" x14ac:dyDescent="0.2">
      <c r="F63" s="51">
        <f t="shared" si="0"/>
        <v>32</v>
      </c>
      <c r="G63" s="188" t="s">
        <v>153</v>
      </c>
      <c r="H63" s="189"/>
      <c r="I63" s="189"/>
      <c r="J63" s="189"/>
      <c r="K63" s="189"/>
      <c r="L63" s="189"/>
      <c r="M63" s="189"/>
      <c r="N63" s="189"/>
      <c r="O63" s="189"/>
      <c r="P63" s="189"/>
      <c r="Q63" s="189"/>
      <c r="R63" s="189"/>
      <c r="S63" s="189"/>
      <c r="T63" s="189"/>
      <c r="U63" s="189"/>
      <c r="V63" s="189"/>
      <c r="W63" s="189"/>
      <c r="X63" s="189"/>
      <c r="Y63" s="189"/>
      <c r="Z63" s="189"/>
      <c r="AA63" s="189"/>
      <c r="AB63" s="190"/>
    </row>
    <row r="64" spans="6:28" s="52" customFormat="1" ht="42" customHeight="1" x14ac:dyDescent="0.2">
      <c r="F64" s="51">
        <f t="shared" si="0"/>
        <v>33</v>
      </c>
      <c r="G64" s="188" t="s">
        <v>164</v>
      </c>
      <c r="H64" s="189"/>
      <c r="I64" s="189"/>
      <c r="J64" s="189"/>
      <c r="K64" s="189"/>
      <c r="L64" s="189"/>
      <c r="M64" s="189"/>
      <c r="N64" s="189"/>
      <c r="O64" s="189"/>
      <c r="P64" s="189"/>
      <c r="Q64" s="189"/>
      <c r="R64" s="189"/>
      <c r="S64" s="189"/>
      <c r="T64" s="189"/>
      <c r="U64" s="189"/>
      <c r="V64" s="189"/>
      <c r="W64" s="189"/>
      <c r="X64" s="189"/>
      <c r="Y64" s="189"/>
      <c r="Z64" s="189"/>
      <c r="AA64" s="189"/>
      <c r="AB64" s="190"/>
    </row>
    <row r="65" spans="1:35" s="52" customFormat="1" ht="75.75" customHeight="1" x14ac:dyDescent="0.2">
      <c r="F65" s="51">
        <f t="shared" si="0"/>
        <v>34</v>
      </c>
      <c r="G65" s="188" t="s">
        <v>170</v>
      </c>
      <c r="H65" s="189"/>
      <c r="I65" s="189"/>
      <c r="J65" s="189"/>
      <c r="K65" s="189"/>
      <c r="L65" s="189"/>
      <c r="M65" s="189"/>
      <c r="N65" s="189"/>
      <c r="O65" s="189"/>
      <c r="P65" s="189"/>
      <c r="Q65" s="189"/>
      <c r="R65" s="189"/>
      <c r="S65" s="189"/>
      <c r="T65" s="189"/>
      <c r="U65" s="189"/>
      <c r="V65" s="189"/>
      <c r="W65" s="189"/>
      <c r="X65" s="189"/>
      <c r="Y65" s="189"/>
      <c r="Z65" s="189"/>
      <c r="AA65" s="189"/>
      <c r="AB65" s="190"/>
    </row>
    <row r="66" spans="1:35" s="52" customFormat="1" ht="107.25" customHeight="1" x14ac:dyDescent="0.2">
      <c r="F66" s="61">
        <f t="shared" si="0"/>
        <v>35</v>
      </c>
      <c r="G66" s="188" t="s">
        <v>198</v>
      </c>
      <c r="H66" s="189"/>
      <c r="I66" s="189"/>
      <c r="J66" s="189"/>
      <c r="K66" s="189"/>
      <c r="L66" s="189"/>
      <c r="M66" s="189"/>
      <c r="N66" s="189"/>
      <c r="O66" s="189"/>
      <c r="P66" s="189"/>
      <c r="Q66" s="189"/>
      <c r="R66" s="189"/>
      <c r="S66" s="189"/>
      <c r="T66" s="189"/>
      <c r="U66" s="189"/>
      <c r="V66" s="189"/>
      <c r="W66" s="189"/>
      <c r="X66" s="189"/>
      <c r="Y66" s="189"/>
      <c r="Z66" s="189"/>
      <c r="AA66" s="189"/>
      <c r="AB66" s="190"/>
    </row>
    <row r="67" spans="1:35" s="52" customFormat="1" ht="45" customHeight="1" x14ac:dyDescent="0.2">
      <c r="F67" s="61">
        <f t="shared" si="0"/>
        <v>36</v>
      </c>
      <c r="G67" s="188" t="s">
        <v>171</v>
      </c>
      <c r="H67" s="189"/>
      <c r="I67" s="189"/>
      <c r="J67" s="189"/>
      <c r="K67" s="189"/>
      <c r="L67" s="189"/>
      <c r="M67" s="189"/>
      <c r="N67" s="189"/>
      <c r="O67" s="189"/>
      <c r="P67" s="189"/>
      <c r="Q67" s="189"/>
      <c r="R67" s="189"/>
      <c r="S67" s="189"/>
      <c r="T67" s="189"/>
      <c r="U67" s="189"/>
      <c r="V67" s="189"/>
      <c r="W67" s="189"/>
      <c r="X67" s="189"/>
      <c r="Y67" s="189"/>
      <c r="Z67" s="189"/>
      <c r="AA67" s="189"/>
      <c r="AB67" s="190"/>
    </row>
    <row r="68" spans="1:35" s="52" customFormat="1" ht="245.25" customHeight="1" x14ac:dyDescent="0.2">
      <c r="F68" s="51">
        <f t="shared" si="0"/>
        <v>37</v>
      </c>
      <c r="G68" s="188" t="s">
        <v>178</v>
      </c>
      <c r="H68" s="189"/>
      <c r="I68" s="189"/>
      <c r="J68" s="189"/>
      <c r="K68" s="189"/>
      <c r="L68" s="189"/>
      <c r="M68" s="189"/>
      <c r="N68" s="189"/>
      <c r="O68" s="189"/>
      <c r="P68" s="189"/>
      <c r="Q68" s="189"/>
      <c r="R68" s="189"/>
      <c r="S68" s="189"/>
      <c r="T68" s="189"/>
      <c r="U68" s="189"/>
      <c r="V68" s="189"/>
      <c r="W68" s="189"/>
      <c r="X68" s="189"/>
      <c r="Y68" s="189"/>
      <c r="Z68" s="189"/>
      <c r="AA68" s="189"/>
      <c r="AB68" s="190"/>
    </row>
    <row r="69" spans="1:35" s="52" customFormat="1" ht="64.5" customHeight="1" x14ac:dyDescent="0.2">
      <c r="F69" s="61">
        <f t="shared" si="0"/>
        <v>38</v>
      </c>
      <c r="G69" s="188" t="s">
        <v>174</v>
      </c>
      <c r="H69" s="189"/>
      <c r="I69" s="189"/>
      <c r="J69" s="189"/>
      <c r="K69" s="189"/>
      <c r="L69" s="189"/>
      <c r="M69" s="189"/>
      <c r="N69" s="189"/>
      <c r="O69" s="189"/>
      <c r="P69" s="189"/>
      <c r="Q69" s="189"/>
      <c r="R69" s="189"/>
      <c r="S69" s="189"/>
      <c r="T69" s="189"/>
      <c r="U69" s="189"/>
      <c r="V69" s="189"/>
      <c r="W69" s="189"/>
      <c r="X69" s="189"/>
      <c r="Y69" s="189"/>
      <c r="Z69" s="189"/>
      <c r="AA69" s="189"/>
      <c r="AB69" s="190"/>
    </row>
    <row r="70" spans="1:35" s="52" customFormat="1" ht="107.25" customHeight="1" x14ac:dyDescent="0.2">
      <c r="E70" s="69"/>
      <c r="F70" s="51">
        <f t="shared" si="0"/>
        <v>39</v>
      </c>
      <c r="G70" s="188" t="s">
        <v>206</v>
      </c>
      <c r="H70" s="189"/>
      <c r="I70" s="189"/>
      <c r="J70" s="189"/>
      <c r="K70" s="189"/>
      <c r="L70" s="189"/>
      <c r="M70" s="189"/>
      <c r="N70" s="189"/>
      <c r="O70" s="189"/>
      <c r="P70" s="189"/>
      <c r="Q70" s="189"/>
      <c r="R70" s="189"/>
      <c r="S70" s="189"/>
      <c r="T70" s="189"/>
      <c r="U70" s="189"/>
      <c r="V70" s="189"/>
      <c r="W70" s="189"/>
      <c r="X70" s="189"/>
      <c r="Y70" s="189"/>
      <c r="Z70" s="189"/>
      <c r="AA70" s="189"/>
      <c r="AB70" s="190"/>
    </row>
    <row r="71" spans="1:35" s="52" customFormat="1" ht="193.5" customHeight="1" x14ac:dyDescent="0.2">
      <c r="F71" s="51">
        <f t="shared" si="0"/>
        <v>40</v>
      </c>
      <c r="G71" s="203" t="s">
        <v>197</v>
      </c>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row>
    <row r="72" spans="1:35" x14ac:dyDescent="0.2">
      <c r="A72" s="7"/>
      <c r="B72" s="7"/>
      <c r="C72" s="7"/>
      <c r="D72" s="7"/>
      <c r="E72" s="7"/>
      <c r="F72" s="7"/>
      <c r="G72" s="7"/>
      <c r="H72" s="7"/>
      <c r="AE72" s="7"/>
      <c r="AF72" s="7"/>
      <c r="AH72" s="7"/>
      <c r="AI72" s="7"/>
    </row>
    <row r="73" spans="1:35" x14ac:dyDescent="0.2">
      <c r="A73" s="7"/>
      <c r="B73" s="7"/>
      <c r="C73" s="7"/>
      <c r="D73" s="7"/>
      <c r="E73" s="7"/>
      <c r="F73" s="7"/>
      <c r="G73" s="7"/>
      <c r="H73" s="7"/>
      <c r="AE73" s="7"/>
      <c r="AF73" s="7"/>
      <c r="AH73" s="7"/>
      <c r="AI73" s="7"/>
    </row>
  </sheetData>
  <mergeCells count="66">
    <mergeCell ref="G71:AH71"/>
    <mergeCell ref="AJ7:AJ8"/>
    <mergeCell ref="G70:AB70"/>
    <mergeCell ref="AG7:AG8"/>
    <mergeCell ref="J1:Z1"/>
    <mergeCell ref="J7:J8"/>
    <mergeCell ref="Q7:Q8"/>
    <mergeCell ref="V7:V8"/>
    <mergeCell ref="W7:W8"/>
    <mergeCell ref="X7:X8"/>
    <mergeCell ref="Z7:Z8"/>
    <mergeCell ref="Y7:Y8"/>
    <mergeCell ref="R7:R8"/>
    <mergeCell ref="U7:U8"/>
    <mergeCell ref="AF7:AF8"/>
    <mergeCell ref="G40:AB40"/>
    <mergeCell ref="G41:AB41"/>
    <mergeCell ref="G47:AB47"/>
    <mergeCell ref="G35:AB35"/>
    <mergeCell ref="G36:AB36"/>
    <mergeCell ref="G37:AB37"/>
    <mergeCell ref="G38:AB38"/>
    <mergeCell ref="G39:AB39"/>
    <mergeCell ref="G42:AB42"/>
    <mergeCell ref="G44:AB44"/>
    <mergeCell ref="G43:AB43"/>
    <mergeCell ref="G45:AB45"/>
    <mergeCell ref="G46:AB46"/>
    <mergeCell ref="A7:B7"/>
    <mergeCell ref="AE7:AE8"/>
    <mergeCell ref="I7:I8"/>
    <mergeCell ref="AA7:AD7"/>
    <mergeCell ref="N7:P7"/>
    <mergeCell ref="K7:M7"/>
    <mergeCell ref="F7:F8"/>
    <mergeCell ref="G7:G8"/>
    <mergeCell ref="H7:H8"/>
    <mergeCell ref="C7:E7"/>
    <mergeCell ref="G32:AB32"/>
    <mergeCell ref="G33:AB33"/>
    <mergeCell ref="G34:AB34"/>
    <mergeCell ref="S7:S8"/>
    <mergeCell ref="T7:T8"/>
    <mergeCell ref="G53:AB53"/>
    <mergeCell ref="G54:AB54"/>
    <mergeCell ref="G55:AB55"/>
    <mergeCell ref="G48:AB48"/>
    <mergeCell ref="G51:AB51"/>
    <mergeCell ref="G50:AB50"/>
    <mergeCell ref="G49:AB49"/>
    <mergeCell ref="AH7:AI7"/>
    <mergeCell ref="G66:AB66"/>
    <mergeCell ref="G67:AB67"/>
    <mergeCell ref="G68:AB68"/>
    <mergeCell ref="G69:AB69"/>
    <mergeCell ref="G61:AB61"/>
    <mergeCell ref="G62:AB62"/>
    <mergeCell ref="G63:AB63"/>
    <mergeCell ref="G64:AB64"/>
    <mergeCell ref="G65:AB65"/>
    <mergeCell ref="G56:AB56"/>
    <mergeCell ref="G57:AB57"/>
    <mergeCell ref="G58:AB58"/>
    <mergeCell ref="G59:AB59"/>
    <mergeCell ref="G60:AB60"/>
    <mergeCell ref="G52:AB52"/>
  </mergeCells>
  <pageMargins left="0.70866141732283472" right="0.70866141732283472" top="0.74803149606299213" bottom="0.74803149606299213" header="0.31496062992125984" footer="0.31496062992125984"/>
  <pageSetup paperSize="8" scale="5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P81"/>
  <sheetViews>
    <sheetView showGridLines="0" topLeftCell="A2" zoomScaleNormal="100" workbookViewId="0">
      <selection activeCell="AC12" sqref="AC12:AC14"/>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6640625" bestFit="1" customWidth="1"/>
    <col min="6" max="8" width="15.5" customWidth="1"/>
    <col min="9" max="10" width="18.33203125" customWidth="1"/>
    <col min="11" max="11" width="18.1640625" customWidth="1"/>
    <col min="12" max="13" width="21.33203125" customWidth="1"/>
    <col min="14" max="14" width="16.33203125" customWidth="1"/>
    <col min="15" max="15" width="18.5" customWidth="1"/>
    <col min="16" max="16" width="14.33203125" customWidth="1"/>
    <col min="17" max="17" width="14.5" bestFit="1" customWidth="1"/>
    <col min="18" max="18" width="15.5" bestFit="1" customWidth="1"/>
    <col min="19" max="19" width="26.83203125" customWidth="1"/>
    <col min="20" max="20" width="15.5" bestFit="1" customWidth="1"/>
    <col min="21" max="21" width="14.6640625" bestFit="1" customWidth="1"/>
    <col min="22" max="22" width="15.6640625" customWidth="1"/>
    <col min="23" max="23" width="22.33203125" customWidth="1"/>
    <col min="24" max="25" width="15.5" customWidth="1"/>
    <col min="26" max="27" width="13.1640625" bestFit="1" customWidth="1"/>
    <col min="28" max="28" width="11.5" bestFit="1" customWidth="1"/>
    <col min="29" max="30" width="13.1640625" bestFit="1" customWidth="1"/>
    <col min="31" max="31" width="14.5" customWidth="1"/>
    <col min="32" max="32" width="16.1640625" customWidth="1"/>
    <col min="33" max="33" width="17.6640625" bestFit="1" customWidth="1"/>
    <col min="34" max="34" width="13.1640625" bestFit="1" customWidth="1"/>
    <col min="35" max="35" width="15.33203125" bestFit="1" customWidth="1"/>
    <col min="36" max="36" width="28.33203125" bestFit="1" customWidth="1"/>
    <col min="37" max="37" width="17.5" customWidth="1"/>
    <col min="38" max="38" width="19.6640625" bestFit="1" customWidth="1"/>
    <col min="39" max="39" width="19.83203125" customWidth="1"/>
    <col min="40" max="40" width="14.6640625" bestFit="1" customWidth="1"/>
    <col min="41" max="41" width="18.83203125" bestFit="1" customWidth="1"/>
    <col min="42" max="42" width="18.5" customWidth="1"/>
  </cols>
  <sheetData>
    <row r="1" spans="1:42" ht="16" x14ac:dyDescent="0.2">
      <c r="J1" s="205" t="s">
        <v>210</v>
      </c>
      <c r="K1" s="205"/>
      <c r="L1" s="205"/>
      <c r="M1" s="205"/>
      <c r="N1" s="205"/>
      <c r="O1" s="205"/>
      <c r="P1" s="205"/>
      <c r="Q1" s="205"/>
      <c r="R1" s="205"/>
      <c r="S1" s="205"/>
      <c r="T1" s="205"/>
      <c r="U1" s="205"/>
      <c r="V1" s="205"/>
      <c r="W1" s="205"/>
      <c r="X1" s="205"/>
      <c r="Y1" s="205"/>
      <c r="Z1" s="205"/>
      <c r="AA1" s="205"/>
      <c r="AB1" s="205"/>
      <c r="AC1" s="205"/>
      <c r="AD1" s="205"/>
      <c r="AE1" s="205"/>
      <c r="AF1" s="205"/>
    </row>
    <row r="2" spans="1:42" x14ac:dyDescent="0.2">
      <c r="I2" s="8" t="s">
        <v>209</v>
      </c>
      <c r="J2" s="9"/>
      <c r="K2" s="9"/>
    </row>
    <row r="3" spans="1:42" x14ac:dyDescent="0.2">
      <c r="I3" s="8" t="s">
        <v>3</v>
      </c>
      <c r="J3" s="8"/>
      <c r="K3" s="9"/>
      <c r="AB3" s="1"/>
      <c r="AK3" s="1"/>
    </row>
    <row r="4" spans="1:42" x14ac:dyDescent="0.2">
      <c r="I4" s="10" t="s">
        <v>44</v>
      </c>
      <c r="J4" s="8"/>
      <c r="K4" s="9"/>
      <c r="T4" s="1"/>
      <c r="U4" s="1"/>
      <c r="V4" s="1"/>
      <c r="W4" s="1"/>
      <c r="X4" s="1"/>
      <c r="Y4" s="1"/>
      <c r="AI4" s="1"/>
    </row>
    <row r="5" spans="1:42" x14ac:dyDescent="0.2">
      <c r="I5" s="8" t="s">
        <v>4</v>
      </c>
      <c r="J5" s="8"/>
      <c r="K5" s="9"/>
    </row>
    <row r="6" spans="1:42" ht="16" thickBot="1" x14ac:dyDescent="0.25"/>
    <row r="7" spans="1:42" s="53" customFormat="1" ht="15" customHeight="1" x14ac:dyDescent="0.2">
      <c r="A7" s="186" t="s">
        <v>73</v>
      </c>
      <c r="B7" s="187"/>
      <c r="C7" s="201" t="s">
        <v>87</v>
      </c>
      <c r="D7" s="199"/>
      <c r="E7" s="202"/>
      <c r="F7" s="191" t="s">
        <v>74</v>
      </c>
      <c r="G7" s="193" t="s">
        <v>102</v>
      </c>
      <c r="H7" s="193" t="s">
        <v>103</v>
      </c>
      <c r="I7" s="193" t="s">
        <v>22</v>
      </c>
      <c r="J7" s="193" t="s">
        <v>71</v>
      </c>
      <c r="K7" s="186" t="s">
        <v>25</v>
      </c>
      <c r="L7" s="187"/>
      <c r="M7" s="193" t="s">
        <v>123</v>
      </c>
      <c r="N7" s="193" t="s">
        <v>161</v>
      </c>
      <c r="O7" s="193" t="s">
        <v>162</v>
      </c>
      <c r="P7" s="216" t="s">
        <v>75</v>
      </c>
      <c r="Q7" s="214"/>
      <c r="R7" s="217"/>
      <c r="S7" s="193" t="s">
        <v>26</v>
      </c>
      <c r="T7" s="193" t="s">
        <v>76</v>
      </c>
      <c r="U7" s="193" t="s">
        <v>142</v>
      </c>
      <c r="V7" s="193" t="s">
        <v>127</v>
      </c>
      <c r="W7" s="193" t="s">
        <v>145</v>
      </c>
      <c r="X7" s="186" t="s">
        <v>146</v>
      </c>
      <c r="Y7" s="187"/>
      <c r="Z7" s="191" t="s">
        <v>2</v>
      </c>
      <c r="AA7" s="193" t="s">
        <v>0</v>
      </c>
      <c r="AB7" s="193" t="s">
        <v>1</v>
      </c>
      <c r="AC7" s="193" t="s">
        <v>9</v>
      </c>
      <c r="AD7" s="193" t="s">
        <v>148</v>
      </c>
      <c r="AE7" s="193" t="s">
        <v>7</v>
      </c>
      <c r="AF7" s="191" t="s">
        <v>8</v>
      </c>
      <c r="AG7" s="213" t="s">
        <v>95</v>
      </c>
      <c r="AH7" s="214"/>
      <c r="AI7" s="214"/>
      <c r="AJ7" s="215"/>
      <c r="AK7" s="193" t="s">
        <v>104</v>
      </c>
      <c r="AL7" s="193" t="s">
        <v>105</v>
      </c>
      <c r="AM7" s="191" t="s">
        <v>132</v>
      </c>
      <c r="AN7" s="186" t="s">
        <v>190</v>
      </c>
      <c r="AO7" s="187"/>
      <c r="AP7" s="191" t="s">
        <v>193</v>
      </c>
    </row>
    <row r="8" spans="1:42" s="53" customFormat="1" x14ac:dyDescent="0.2">
      <c r="A8" s="42" t="s">
        <v>39</v>
      </c>
      <c r="B8" s="43" t="s">
        <v>40</v>
      </c>
      <c r="C8" s="42" t="s">
        <v>160</v>
      </c>
      <c r="D8" s="59" t="s">
        <v>21</v>
      </c>
      <c r="E8" s="43" t="s">
        <v>86</v>
      </c>
      <c r="F8" s="192"/>
      <c r="G8" s="200"/>
      <c r="H8" s="194"/>
      <c r="I8" s="200"/>
      <c r="J8" s="200"/>
      <c r="K8" s="42" t="s">
        <v>35</v>
      </c>
      <c r="L8" s="43" t="s">
        <v>38</v>
      </c>
      <c r="M8" s="200"/>
      <c r="N8" s="194"/>
      <c r="O8" s="194"/>
      <c r="P8" s="54" t="s">
        <v>21</v>
      </c>
      <c r="Q8" s="45" t="s">
        <v>11</v>
      </c>
      <c r="R8" s="54" t="s">
        <v>14</v>
      </c>
      <c r="S8" s="194"/>
      <c r="T8" s="200"/>
      <c r="U8" s="200"/>
      <c r="V8" s="200"/>
      <c r="W8" s="200"/>
      <c r="X8" s="42" t="s">
        <v>39</v>
      </c>
      <c r="Y8" s="43" t="s">
        <v>40</v>
      </c>
      <c r="Z8" s="210"/>
      <c r="AA8" s="194"/>
      <c r="AB8" s="194"/>
      <c r="AC8" s="194"/>
      <c r="AD8" s="194"/>
      <c r="AE8" s="206"/>
      <c r="AF8" s="218"/>
      <c r="AG8" s="44" t="s">
        <v>16</v>
      </c>
      <c r="AH8" s="45" t="s">
        <v>17</v>
      </c>
      <c r="AI8" s="45" t="s">
        <v>19</v>
      </c>
      <c r="AJ8" s="43" t="s">
        <v>30</v>
      </c>
      <c r="AK8" s="194"/>
      <c r="AL8" s="194"/>
      <c r="AM8" s="192"/>
      <c r="AN8" s="42" t="s">
        <v>187</v>
      </c>
      <c r="AO8" s="43" t="s">
        <v>188</v>
      </c>
      <c r="AP8" s="192"/>
    </row>
    <row r="9" spans="1:42" s="41" customFormat="1" ht="16" thickBot="1" x14ac:dyDescent="0.25">
      <c r="A9" s="18" t="s">
        <v>41</v>
      </c>
      <c r="B9" s="19" t="s">
        <v>12</v>
      </c>
      <c r="C9" s="18" t="s">
        <v>84</v>
      </c>
      <c r="D9" s="60" t="s">
        <v>12</v>
      </c>
      <c r="E9" s="19" t="s">
        <v>83</v>
      </c>
      <c r="F9" s="22" t="s">
        <v>12</v>
      </c>
      <c r="G9" s="22" t="s">
        <v>42</v>
      </c>
      <c r="H9" s="49" t="s">
        <v>18</v>
      </c>
      <c r="I9" s="22" t="s">
        <v>36</v>
      </c>
      <c r="J9" s="22" t="s">
        <v>36</v>
      </c>
      <c r="K9" s="18" t="s">
        <v>13</v>
      </c>
      <c r="L9" s="19" t="s">
        <v>15</v>
      </c>
      <c r="M9" s="22" t="s">
        <v>36</v>
      </c>
      <c r="N9" s="22" t="s">
        <v>15</v>
      </c>
      <c r="O9" s="22" t="s">
        <v>15</v>
      </c>
      <c r="P9" s="23" t="s">
        <v>12</v>
      </c>
      <c r="Q9" s="21" t="s">
        <v>12</v>
      </c>
      <c r="R9" s="23" t="s">
        <v>15</v>
      </c>
      <c r="S9" s="22" t="s">
        <v>13</v>
      </c>
      <c r="T9" s="22" t="s">
        <v>12</v>
      </c>
      <c r="U9" s="22" t="s">
        <v>84</v>
      </c>
      <c r="V9" s="22" t="s">
        <v>84</v>
      </c>
      <c r="W9" s="22" t="s">
        <v>84</v>
      </c>
      <c r="X9" s="18" t="s">
        <v>41</v>
      </c>
      <c r="Y9" s="19" t="s">
        <v>12</v>
      </c>
      <c r="Z9" s="49" t="s">
        <v>18</v>
      </c>
      <c r="AA9" s="49" t="s">
        <v>18</v>
      </c>
      <c r="AB9" s="22" t="s">
        <v>28</v>
      </c>
      <c r="AC9" s="49" t="s">
        <v>18</v>
      </c>
      <c r="AD9" s="49" t="s">
        <v>18</v>
      </c>
      <c r="AE9" s="22" t="s">
        <v>28</v>
      </c>
      <c r="AF9" s="49" t="s">
        <v>18</v>
      </c>
      <c r="AG9" s="24" t="s">
        <v>36</v>
      </c>
      <c r="AH9" s="50" t="s">
        <v>18</v>
      </c>
      <c r="AI9" s="21" t="s">
        <v>12</v>
      </c>
      <c r="AJ9" s="19" t="s">
        <v>20</v>
      </c>
      <c r="AK9" s="22" t="s">
        <v>28</v>
      </c>
      <c r="AL9" s="49" t="s">
        <v>18</v>
      </c>
      <c r="AM9" s="22" t="s">
        <v>131</v>
      </c>
      <c r="AN9" s="18" t="s">
        <v>84</v>
      </c>
      <c r="AO9" s="19" t="s">
        <v>15</v>
      </c>
      <c r="AP9" s="22" t="s">
        <v>13</v>
      </c>
    </row>
    <row r="10" spans="1:42" s="134" customFormat="1" ht="16" thickBot="1" x14ac:dyDescent="0.25">
      <c r="A10" s="117">
        <v>2023</v>
      </c>
      <c r="B10" s="118" t="s">
        <v>228</v>
      </c>
      <c r="C10" s="117" t="s">
        <v>214</v>
      </c>
      <c r="D10" s="119">
        <v>4</v>
      </c>
      <c r="E10" s="118">
        <v>32</v>
      </c>
      <c r="F10" s="120"/>
      <c r="G10" s="120"/>
      <c r="H10" s="121"/>
      <c r="I10" s="170">
        <v>44970</v>
      </c>
      <c r="J10" s="120"/>
      <c r="K10" s="171">
        <v>65717910</v>
      </c>
      <c r="L10" s="118"/>
      <c r="M10" s="120"/>
      <c r="N10" s="120"/>
      <c r="O10" s="120"/>
      <c r="P10" s="139"/>
      <c r="Q10" s="133"/>
      <c r="R10" s="172" t="s">
        <v>258</v>
      </c>
      <c r="S10" s="173" t="s">
        <v>227</v>
      </c>
      <c r="T10" s="120"/>
      <c r="U10" s="120"/>
      <c r="V10" s="120"/>
      <c r="W10" s="120"/>
      <c r="X10" s="117"/>
      <c r="Y10" s="118"/>
      <c r="Z10" s="121">
        <v>1771.78</v>
      </c>
      <c r="AA10" s="121">
        <v>1464.28</v>
      </c>
      <c r="AB10" s="175">
        <v>21</v>
      </c>
      <c r="AC10" s="121">
        <v>307.5</v>
      </c>
      <c r="AD10" s="121"/>
      <c r="AE10" s="120"/>
      <c r="AF10" s="121"/>
      <c r="AG10" s="123"/>
      <c r="AH10" s="132"/>
      <c r="AI10" s="133"/>
      <c r="AJ10" s="118"/>
      <c r="AK10" s="120"/>
      <c r="AL10" s="121"/>
      <c r="AM10" s="120"/>
      <c r="AN10" s="117"/>
      <c r="AO10" s="118"/>
      <c r="AP10" s="120"/>
    </row>
    <row r="11" spans="1:42" s="134" customFormat="1" ht="16" thickBot="1" x14ac:dyDescent="0.25">
      <c r="A11" s="117">
        <v>2023</v>
      </c>
      <c r="B11" s="118" t="s">
        <v>223</v>
      </c>
      <c r="C11" s="117" t="s">
        <v>214</v>
      </c>
      <c r="D11" s="119">
        <v>4</v>
      </c>
      <c r="E11" s="118">
        <v>32</v>
      </c>
      <c r="F11" s="120"/>
      <c r="G11" s="120"/>
      <c r="H11" s="121"/>
      <c r="I11" s="170">
        <v>45076</v>
      </c>
      <c r="J11" s="120"/>
      <c r="K11" s="171">
        <v>67571801</v>
      </c>
      <c r="L11" s="118"/>
      <c r="M11" s="120"/>
      <c r="N11" s="120"/>
      <c r="O11" s="120"/>
      <c r="P11" s="139"/>
      <c r="Q11" s="124"/>
      <c r="R11" s="172" t="s">
        <v>258</v>
      </c>
      <c r="S11" s="173" t="s">
        <v>227</v>
      </c>
      <c r="T11" s="120"/>
      <c r="U11" s="120"/>
      <c r="V11" s="120"/>
      <c r="W11" s="120"/>
      <c r="X11" s="117"/>
      <c r="Y11" s="118"/>
      <c r="Z11" s="121">
        <v>903.99</v>
      </c>
      <c r="AA11" s="121">
        <v>747.1</v>
      </c>
      <c r="AB11" s="175">
        <v>21</v>
      </c>
      <c r="AC11" s="121">
        <v>156.88999999999999</v>
      </c>
      <c r="AD11" s="121"/>
      <c r="AE11" s="120"/>
      <c r="AF11" s="121"/>
      <c r="AG11" s="123"/>
      <c r="AH11" s="132"/>
      <c r="AI11" s="133"/>
      <c r="AJ11" s="118"/>
      <c r="AK11" s="120"/>
      <c r="AL11" s="121"/>
      <c r="AM11" s="120"/>
      <c r="AN11" s="117"/>
      <c r="AO11" s="118"/>
      <c r="AP11" s="120"/>
    </row>
    <row r="12" spans="1:42" s="158" customFormat="1" ht="16" thickBot="1" x14ac:dyDescent="0.25">
      <c r="A12" s="141">
        <v>2024</v>
      </c>
      <c r="B12" s="142" t="s">
        <v>228</v>
      </c>
      <c r="C12" s="141" t="s">
        <v>214</v>
      </c>
      <c r="D12" s="143">
        <v>4</v>
      </c>
      <c r="E12" s="142">
        <v>32</v>
      </c>
      <c r="F12" s="144"/>
      <c r="G12" s="144"/>
      <c r="H12" s="145"/>
      <c r="I12" s="161">
        <v>45259</v>
      </c>
      <c r="J12" s="144"/>
      <c r="K12" s="162" t="s">
        <v>255</v>
      </c>
      <c r="L12" s="142"/>
      <c r="M12" s="144"/>
      <c r="N12" s="144"/>
      <c r="O12" s="144"/>
      <c r="P12" s="163"/>
      <c r="Q12" s="157"/>
      <c r="R12" s="164" t="s">
        <v>253</v>
      </c>
      <c r="S12" s="165" t="s">
        <v>254</v>
      </c>
      <c r="T12" s="144"/>
      <c r="U12" s="144"/>
      <c r="V12" s="144"/>
      <c r="W12" s="144"/>
      <c r="X12" s="141"/>
      <c r="Y12" s="142"/>
      <c r="Z12" s="166">
        <v>1497</v>
      </c>
      <c r="AA12" s="167">
        <v>1237.19</v>
      </c>
      <c r="AB12" s="168">
        <v>21</v>
      </c>
      <c r="AC12" s="168">
        <v>259.81</v>
      </c>
      <c r="AD12" s="174"/>
      <c r="AE12" s="144"/>
      <c r="AF12" s="145"/>
      <c r="AG12" s="147"/>
      <c r="AH12" s="156"/>
      <c r="AI12" s="157"/>
      <c r="AJ12" s="142"/>
      <c r="AK12" s="144"/>
      <c r="AL12" s="145"/>
      <c r="AM12" s="144"/>
      <c r="AN12" s="141"/>
      <c r="AO12" s="142"/>
      <c r="AP12" s="144"/>
    </row>
    <row r="13" spans="1:42" s="158" customFormat="1" ht="16" thickBot="1" x14ac:dyDescent="0.25">
      <c r="A13" s="141">
        <v>2024</v>
      </c>
      <c r="B13" s="142" t="s">
        <v>222</v>
      </c>
      <c r="C13" s="141" t="s">
        <v>214</v>
      </c>
      <c r="D13" s="143">
        <v>4</v>
      </c>
      <c r="E13" s="142">
        <v>32</v>
      </c>
      <c r="F13" s="144"/>
      <c r="G13" s="144"/>
      <c r="H13" s="145"/>
      <c r="I13" s="161">
        <v>45545</v>
      </c>
      <c r="J13" s="144"/>
      <c r="K13" s="182" t="s">
        <v>256</v>
      </c>
      <c r="L13" s="181"/>
      <c r="M13" s="144"/>
      <c r="N13" s="144"/>
      <c r="O13" s="144"/>
      <c r="P13" s="163"/>
      <c r="Q13" s="157"/>
      <c r="R13" s="176" t="s">
        <v>258</v>
      </c>
      <c r="S13" s="165" t="s">
        <v>227</v>
      </c>
      <c r="T13" s="144"/>
      <c r="U13" s="144"/>
      <c r="V13" s="144"/>
      <c r="W13" s="144"/>
      <c r="X13" s="141"/>
      <c r="Y13" s="142"/>
      <c r="Z13" s="177">
        <v>699</v>
      </c>
      <c r="AA13" s="152">
        <v>577.69000000000005</v>
      </c>
      <c r="AB13" s="178">
        <v>21</v>
      </c>
      <c r="AC13" s="179">
        <v>121.31</v>
      </c>
      <c r="AD13" s="180"/>
      <c r="AE13" s="144"/>
      <c r="AF13" s="145"/>
      <c r="AG13" s="147"/>
      <c r="AH13" s="156"/>
      <c r="AI13" s="157"/>
      <c r="AJ13" s="142"/>
      <c r="AK13" s="144"/>
      <c r="AL13" s="145"/>
      <c r="AM13" s="144"/>
      <c r="AN13" s="141"/>
      <c r="AO13" s="142"/>
      <c r="AP13" s="144"/>
    </row>
    <row r="14" spans="1:42" s="158" customFormat="1" ht="16" thickBot="1" x14ac:dyDescent="0.25">
      <c r="A14" s="141">
        <v>2024</v>
      </c>
      <c r="B14" s="142" t="s">
        <v>222</v>
      </c>
      <c r="C14" s="141" t="s">
        <v>214</v>
      </c>
      <c r="D14" s="143">
        <v>4</v>
      </c>
      <c r="E14" s="142">
        <v>32</v>
      </c>
      <c r="F14" s="144"/>
      <c r="G14" s="144"/>
      <c r="H14" s="145"/>
      <c r="I14" s="161">
        <v>45545</v>
      </c>
      <c r="J14" s="144"/>
      <c r="K14" s="182" t="s">
        <v>257</v>
      </c>
      <c r="L14" s="181"/>
      <c r="M14" s="144"/>
      <c r="N14" s="144"/>
      <c r="O14" s="144"/>
      <c r="P14" s="163"/>
      <c r="Q14" s="157"/>
      <c r="R14" s="176" t="s">
        <v>258</v>
      </c>
      <c r="S14" s="165" t="s">
        <v>227</v>
      </c>
      <c r="T14" s="144"/>
      <c r="U14" s="144"/>
      <c r="V14" s="144"/>
      <c r="W14" s="144"/>
      <c r="X14" s="141"/>
      <c r="Y14" s="142"/>
      <c r="Z14" s="177">
        <v>85.9</v>
      </c>
      <c r="AA14" s="152">
        <v>70.989999999999995</v>
      </c>
      <c r="AB14" s="178">
        <v>21</v>
      </c>
      <c r="AC14" s="179">
        <v>14.91</v>
      </c>
      <c r="AD14" s="180"/>
      <c r="AE14" s="144"/>
      <c r="AF14" s="145"/>
      <c r="AG14" s="147"/>
      <c r="AH14" s="156"/>
      <c r="AI14" s="157"/>
      <c r="AJ14" s="142"/>
      <c r="AK14" s="144"/>
      <c r="AL14" s="145"/>
      <c r="AM14" s="144"/>
      <c r="AN14" s="141"/>
      <c r="AO14" s="142"/>
      <c r="AP14" s="144"/>
    </row>
    <row r="15" spans="1:42" s="41" customFormat="1" ht="16" thickBot="1" x14ac:dyDescent="0.25">
      <c r="A15" s="18"/>
      <c r="B15" s="19"/>
      <c r="C15" s="18"/>
      <c r="D15" s="60"/>
      <c r="E15" s="19"/>
      <c r="F15" s="22"/>
      <c r="G15" s="22"/>
      <c r="H15" s="49"/>
      <c r="I15" s="78"/>
      <c r="J15" s="22"/>
      <c r="K15" s="94"/>
      <c r="L15" s="19"/>
      <c r="M15" s="22"/>
      <c r="N15" s="22"/>
      <c r="O15" s="22"/>
      <c r="P15" s="23"/>
      <c r="Q15" s="80"/>
      <c r="R15" s="169"/>
      <c r="S15" s="93"/>
      <c r="T15" s="22"/>
      <c r="U15" s="22"/>
      <c r="V15" s="22"/>
      <c r="W15" s="22"/>
      <c r="X15" s="18"/>
      <c r="Y15" s="19"/>
      <c r="Z15" s="88"/>
      <c r="AA15" s="81"/>
      <c r="AB15" s="86"/>
      <c r="AC15" s="86"/>
      <c r="AD15" s="73"/>
      <c r="AE15" s="22"/>
      <c r="AF15" s="49"/>
      <c r="AG15" s="24"/>
      <c r="AH15" s="50"/>
      <c r="AI15" s="21"/>
      <c r="AJ15" s="19"/>
      <c r="AK15" s="22"/>
      <c r="AL15" s="49"/>
      <c r="AM15" s="22"/>
      <c r="AN15" s="18"/>
      <c r="AO15" s="19"/>
      <c r="AP15" s="22"/>
    </row>
    <row r="16" spans="1:42" s="41" customFormat="1" ht="16" thickBot="1" x14ac:dyDescent="0.25">
      <c r="A16" s="18"/>
      <c r="B16" s="19"/>
      <c r="C16" s="18"/>
      <c r="D16" s="60"/>
      <c r="E16" s="19"/>
      <c r="F16" s="22"/>
      <c r="G16" s="22"/>
      <c r="H16" s="49"/>
      <c r="I16" s="78"/>
      <c r="J16" s="22"/>
      <c r="K16" s="94"/>
      <c r="L16" s="19"/>
      <c r="M16" s="22"/>
      <c r="N16" s="22"/>
      <c r="O16" s="22"/>
      <c r="P16" s="23"/>
      <c r="Q16" s="21"/>
      <c r="R16" s="95"/>
      <c r="S16" s="93"/>
      <c r="T16" s="22"/>
      <c r="U16" s="22"/>
      <c r="V16" s="22"/>
      <c r="W16" s="22"/>
      <c r="X16" s="18"/>
      <c r="Y16" s="19"/>
      <c r="Z16" s="88"/>
      <c r="AA16" s="81"/>
      <c r="AB16" s="86"/>
      <c r="AC16" s="86"/>
      <c r="AD16" s="73"/>
      <c r="AE16" s="22"/>
      <c r="AF16" s="49"/>
      <c r="AG16" s="24"/>
      <c r="AH16" s="50"/>
      <c r="AI16" s="21"/>
      <c r="AJ16" s="19"/>
      <c r="AK16" s="22"/>
      <c r="AL16" s="49"/>
      <c r="AM16" s="22"/>
      <c r="AN16" s="18"/>
      <c r="AO16" s="19"/>
      <c r="AP16" s="22"/>
    </row>
    <row r="17" spans="1:42" s="41" customFormat="1" ht="16" thickBot="1" x14ac:dyDescent="0.25">
      <c r="A17" s="18"/>
      <c r="B17" s="19"/>
      <c r="C17" s="18"/>
      <c r="D17" s="60"/>
      <c r="E17" s="19"/>
      <c r="F17" s="22"/>
      <c r="G17" s="22"/>
      <c r="H17" s="49"/>
      <c r="I17" s="78"/>
      <c r="J17" s="22"/>
      <c r="K17" s="94"/>
      <c r="L17" s="19"/>
      <c r="M17" s="22"/>
      <c r="N17" s="22"/>
      <c r="O17" s="22"/>
      <c r="P17" s="23"/>
      <c r="Q17" s="21"/>
      <c r="R17" s="95"/>
      <c r="S17" s="93"/>
      <c r="T17" s="22"/>
      <c r="U17" s="22"/>
      <c r="V17" s="22"/>
      <c r="W17" s="22"/>
      <c r="X17" s="18"/>
      <c r="Y17" s="19"/>
      <c r="Z17" s="88"/>
      <c r="AA17" s="81"/>
      <c r="AB17" s="86"/>
      <c r="AC17" s="86"/>
      <c r="AD17" s="73"/>
      <c r="AE17" s="22"/>
      <c r="AF17" s="49"/>
      <c r="AG17" s="24"/>
      <c r="AH17" s="50"/>
      <c r="AI17" s="21"/>
      <c r="AJ17" s="19"/>
      <c r="AK17" s="22"/>
      <c r="AL17" s="49"/>
      <c r="AM17" s="22"/>
      <c r="AN17" s="18"/>
      <c r="AO17" s="19"/>
      <c r="AP17" s="22"/>
    </row>
    <row r="18" spans="1:42" s="41" customFormat="1" ht="16" thickBot="1" x14ac:dyDescent="0.25">
      <c r="A18" s="18"/>
      <c r="B18" s="19"/>
      <c r="C18" s="18"/>
      <c r="D18" s="60"/>
      <c r="E18" s="19"/>
      <c r="F18" s="22"/>
      <c r="G18" s="22"/>
      <c r="H18" s="49"/>
      <c r="I18" s="78"/>
      <c r="J18" s="22"/>
      <c r="K18" s="94"/>
      <c r="L18" s="19"/>
      <c r="M18" s="22"/>
      <c r="N18" s="22"/>
      <c r="O18" s="22"/>
      <c r="P18" s="23"/>
      <c r="Q18" s="21"/>
      <c r="R18" s="95"/>
      <c r="S18" s="93"/>
      <c r="T18" s="22"/>
      <c r="U18" s="22"/>
      <c r="V18" s="22"/>
      <c r="W18" s="22"/>
      <c r="X18" s="18"/>
      <c r="Y18" s="19"/>
      <c r="Z18" s="88"/>
      <c r="AA18" s="81"/>
      <c r="AB18" s="86"/>
      <c r="AC18" s="86"/>
      <c r="AD18" s="73"/>
      <c r="AE18" s="22"/>
      <c r="AF18" s="49"/>
      <c r="AG18" s="24"/>
      <c r="AH18" s="50"/>
      <c r="AI18" s="21"/>
      <c r="AJ18" s="19"/>
      <c r="AK18" s="22"/>
      <c r="AL18" s="49"/>
      <c r="AM18" s="22"/>
      <c r="AN18" s="18"/>
      <c r="AO18" s="19"/>
      <c r="AP18" s="22"/>
    </row>
    <row r="19" spans="1:42" s="41" customFormat="1" ht="16" thickBot="1" x14ac:dyDescent="0.25">
      <c r="A19" s="18"/>
      <c r="B19" s="19"/>
      <c r="C19" s="18"/>
      <c r="D19" s="60"/>
      <c r="E19" s="19"/>
      <c r="F19" s="22"/>
      <c r="G19" s="22"/>
      <c r="H19" s="49"/>
      <c r="I19" s="78"/>
      <c r="J19" s="22"/>
      <c r="K19" s="94"/>
      <c r="L19" s="19"/>
      <c r="M19" s="22"/>
      <c r="N19" s="22"/>
      <c r="O19" s="22"/>
      <c r="P19" s="23"/>
      <c r="Q19" s="21"/>
      <c r="R19" s="95"/>
      <c r="S19" s="93"/>
      <c r="T19" s="22"/>
      <c r="U19" s="22"/>
      <c r="V19" s="22"/>
      <c r="W19" s="22"/>
      <c r="X19" s="18"/>
      <c r="Y19" s="19"/>
      <c r="Z19" s="88"/>
      <c r="AA19" s="81"/>
      <c r="AB19" s="86"/>
      <c r="AC19" s="86"/>
      <c r="AD19" s="73"/>
      <c r="AE19" s="22"/>
      <c r="AF19" s="49"/>
      <c r="AG19" s="24"/>
      <c r="AH19" s="50"/>
      <c r="AI19" s="21"/>
      <c r="AJ19" s="19"/>
      <c r="AK19" s="22"/>
      <c r="AL19" s="49"/>
      <c r="AM19" s="22"/>
      <c r="AN19" s="18"/>
      <c r="AO19" s="19"/>
      <c r="AP19" s="22"/>
    </row>
    <row r="20" spans="1:42" s="41" customFormat="1" ht="16" thickBot="1" x14ac:dyDescent="0.25">
      <c r="A20" s="18"/>
      <c r="B20" s="19"/>
      <c r="C20" s="18"/>
      <c r="D20" s="60"/>
      <c r="E20" s="19"/>
      <c r="F20" s="22"/>
      <c r="G20" s="22"/>
      <c r="H20" s="49"/>
      <c r="I20" s="78"/>
      <c r="J20" s="22"/>
      <c r="K20" s="94"/>
      <c r="L20" s="19"/>
      <c r="M20" s="22"/>
      <c r="N20" s="22"/>
      <c r="O20" s="22"/>
      <c r="P20" s="23"/>
      <c r="Q20" s="21"/>
      <c r="R20" s="95"/>
      <c r="S20" s="93"/>
      <c r="T20" s="22"/>
      <c r="U20" s="22"/>
      <c r="V20" s="22"/>
      <c r="W20" s="22"/>
      <c r="X20" s="18"/>
      <c r="Y20" s="19"/>
      <c r="Z20" s="88"/>
      <c r="AA20" s="81"/>
      <c r="AB20" s="86"/>
      <c r="AC20" s="86"/>
      <c r="AD20" s="73"/>
      <c r="AE20" s="22"/>
      <c r="AF20" s="49"/>
      <c r="AG20" s="24"/>
      <c r="AH20" s="50"/>
      <c r="AI20" s="21"/>
      <c r="AJ20" s="19"/>
      <c r="AK20" s="22"/>
      <c r="AL20" s="49"/>
      <c r="AM20" s="22"/>
      <c r="AN20" s="18"/>
      <c r="AO20" s="19"/>
      <c r="AP20" s="22"/>
    </row>
    <row r="21" spans="1:42" s="41" customFormat="1" ht="16" thickBot="1" x14ac:dyDescent="0.25">
      <c r="A21" s="18"/>
      <c r="B21" s="19"/>
      <c r="C21" s="18"/>
      <c r="D21" s="60"/>
      <c r="E21" s="19"/>
      <c r="F21" s="22"/>
      <c r="G21" s="22"/>
      <c r="H21" s="49"/>
      <c r="I21" s="78"/>
      <c r="J21" s="22"/>
      <c r="K21" s="94"/>
      <c r="L21" s="19"/>
      <c r="M21" s="22"/>
      <c r="N21" s="22"/>
      <c r="O21" s="22"/>
      <c r="P21" s="23"/>
      <c r="Q21" s="21"/>
      <c r="R21" s="95"/>
      <c r="S21" s="93"/>
      <c r="T21" s="22"/>
      <c r="U21" s="22"/>
      <c r="V21" s="22"/>
      <c r="W21" s="22"/>
      <c r="X21" s="18"/>
      <c r="Y21" s="19"/>
      <c r="Z21" s="88"/>
      <c r="AA21" s="81"/>
      <c r="AB21" s="86"/>
      <c r="AC21" s="86"/>
      <c r="AD21" s="73"/>
      <c r="AE21" s="22"/>
      <c r="AF21" s="49"/>
      <c r="AG21" s="24"/>
      <c r="AH21" s="50"/>
      <c r="AI21" s="21"/>
      <c r="AJ21" s="19"/>
      <c r="AK21" s="22"/>
      <c r="AL21" s="49"/>
      <c r="AM21" s="22"/>
      <c r="AN21" s="18"/>
      <c r="AO21" s="19"/>
      <c r="AP21" s="22"/>
    </row>
    <row r="22" spans="1:42" s="41" customFormat="1" ht="16" thickBot="1" x14ac:dyDescent="0.25">
      <c r="A22" s="18"/>
      <c r="B22" s="19"/>
      <c r="C22" s="18"/>
      <c r="D22" s="60"/>
      <c r="E22" s="19"/>
      <c r="F22" s="22"/>
      <c r="G22" s="22"/>
      <c r="H22" s="49"/>
      <c r="I22" s="78"/>
      <c r="J22" s="22"/>
      <c r="K22" s="94"/>
      <c r="L22" s="19"/>
      <c r="M22" s="22"/>
      <c r="N22" s="22"/>
      <c r="O22" s="22"/>
      <c r="P22" s="23"/>
      <c r="Q22" s="21"/>
      <c r="R22" s="95"/>
      <c r="S22" s="93"/>
      <c r="T22" s="22"/>
      <c r="U22" s="22"/>
      <c r="V22" s="22"/>
      <c r="W22" s="22"/>
      <c r="X22" s="18"/>
      <c r="Y22" s="19"/>
      <c r="Z22" s="88"/>
      <c r="AA22" s="81"/>
      <c r="AB22" s="86"/>
      <c r="AC22" s="86"/>
      <c r="AD22" s="73"/>
      <c r="AE22" s="22"/>
      <c r="AF22" s="49"/>
      <c r="AG22" s="24"/>
      <c r="AH22" s="50"/>
      <c r="AI22" s="21"/>
      <c r="AJ22" s="19"/>
      <c r="AK22" s="22"/>
      <c r="AL22" s="49"/>
      <c r="AM22" s="22"/>
      <c r="AN22" s="18"/>
      <c r="AO22" s="19"/>
      <c r="AP22" s="22"/>
    </row>
    <row r="23" spans="1:42" s="41" customFormat="1" ht="16" thickBot="1" x14ac:dyDescent="0.25">
      <c r="A23" s="18"/>
      <c r="B23" s="19"/>
      <c r="C23" s="18"/>
      <c r="D23" s="60"/>
      <c r="E23" s="19"/>
      <c r="F23" s="22"/>
      <c r="G23" s="22"/>
      <c r="H23" s="49"/>
      <c r="I23" s="74"/>
      <c r="J23" s="22"/>
      <c r="K23" s="91"/>
      <c r="L23" s="19"/>
      <c r="M23" s="22"/>
      <c r="N23" s="22"/>
      <c r="O23" s="22"/>
      <c r="P23" s="23"/>
      <c r="Q23" s="21"/>
      <c r="R23" s="92"/>
      <c r="S23" s="74"/>
      <c r="T23" s="22"/>
      <c r="U23" s="22"/>
      <c r="V23" s="22"/>
      <c r="W23" s="22"/>
      <c r="X23" s="18"/>
      <c r="Y23" s="19"/>
      <c r="Z23" s="89"/>
      <c r="AA23" s="75"/>
      <c r="AB23" s="90"/>
      <c r="AC23" s="87"/>
      <c r="AD23" s="49"/>
      <c r="AE23" s="22"/>
      <c r="AF23" s="49"/>
      <c r="AG23" s="24"/>
      <c r="AH23" s="50"/>
      <c r="AI23" s="21"/>
      <c r="AJ23" s="19"/>
      <c r="AK23" s="22"/>
      <c r="AL23" s="49"/>
      <c r="AM23" s="22"/>
      <c r="AN23" s="18"/>
      <c r="AO23" s="19"/>
      <c r="AP23" s="22"/>
    </row>
    <row r="24" spans="1:42" s="41" customFormat="1" ht="16" thickBot="1" x14ac:dyDescent="0.25">
      <c r="A24" s="18"/>
      <c r="B24" s="19"/>
      <c r="C24" s="18"/>
      <c r="D24" s="60"/>
      <c r="E24" s="19"/>
      <c r="F24" s="22"/>
      <c r="G24" s="22"/>
      <c r="H24" s="49"/>
      <c r="I24" s="77"/>
      <c r="J24" s="22"/>
      <c r="K24" s="91"/>
      <c r="L24" s="19"/>
      <c r="M24" s="22"/>
      <c r="N24" s="22"/>
      <c r="O24" s="22"/>
      <c r="P24" s="23"/>
      <c r="Q24" s="21"/>
      <c r="R24" s="96"/>
      <c r="S24" s="77"/>
      <c r="T24" s="22"/>
      <c r="U24" s="22"/>
      <c r="V24" s="22"/>
      <c r="W24" s="22"/>
      <c r="X24" s="18"/>
      <c r="Y24" s="19"/>
      <c r="Z24" s="97"/>
      <c r="AA24" s="73"/>
      <c r="AB24" s="92"/>
      <c r="AC24" s="98"/>
      <c r="AD24" s="49"/>
      <c r="AE24" s="22"/>
      <c r="AF24" s="49"/>
      <c r="AG24" s="24"/>
      <c r="AH24" s="50"/>
      <c r="AI24" s="21"/>
      <c r="AJ24" s="19"/>
      <c r="AK24" s="22"/>
      <c r="AL24" s="49"/>
      <c r="AM24" s="22"/>
      <c r="AN24" s="18"/>
      <c r="AO24" s="19"/>
      <c r="AP24" s="22"/>
    </row>
    <row r="25" spans="1:42" s="41" customFormat="1" ht="16" thickBot="1" x14ac:dyDescent="0.25">
      <c r="A25" s="18"/>
      <c r="B25" s="19"/>
      <c r="C25" s="18"/>
      <c r="D25" s="60"/>
      <c r="E25" s="19"/>
      <c r="F25" s="22"/>
      <c r="G25" s="22"/>
      <c r="H25" s="49"/>
      <c r="I25" s="22"/>
      <c r="J25" s="22"/>
      <c r="K25" s="18"/>
      <c r="L25" s="19"/>
      <c r="M25" s="22"/>
      <c r="N25" s="22"/>
      <c r="O25" s="22"/>
      <c r="P25" s="23"/>
      <c r="Q25" s="21"/>
      <c r="R25" s="60"/>
      <c r="S25" s="22"/>
      <c r="T25" s="22"/>
      <c r="U25" s="22"/>
      <c r="V25" s="22"/>
      <c r="W25" s="22"/>
      <c r="X25" s="18"/>
      <c r="Y25" s="19"/>
      <c r="Z25" s="49"/>
      <c r="AA25" s="49"/>
      <c r="AB25" s="22"/>
      <c r="AC25" s="49"/>
      <c r="AD25" s="49"/>
      <c r="AE25" s="22"/>
      <c r="AF25" s="49"/>
      <c r="AG25" s="24"/>
      <c r="AH25" s="50"/>
      <c r="AI25" s="21"/>
      <c r="AJ25" s="19"/>
      <c r="AK25" s="22"/>
      <c r="AL25" s="49"/>
      <c r="AM25" s="22"/>
      <c r="AN25" s="18"/>
      <c r="AO25" s="19"/>
      <c r="AP25" s="22"/>
    </row>
    <row r="26" spans="1:42" s="41" customFormat="1" ht="16" thickBot="1" x14ac:dyDescent="0.25">
      <c r="A26" s="18" t="s">
        <v>41</v>
      </c>
      <c r="B26" s="19" t="s">
        <v>12</v>
      </c>
      <c r="C26" s="18" t="s">
        <v>84</v>
      </c>
      <c r="D26" s="60" t="s">
        <v>12</v>
      </c>
      <c r="E26" s="19" t="s">
        <v>83</v>
      </c>
      <c r="F26" s="22" t="s">
        <v>12</v>
      </c>
      <c r="G26" s="22" t="s">
        <v>42</v>
      </c>
      <c r="H26" s="49" t="s">
        <v>18</v>
      </c>
      <c r="I26" s="22" t="s">
        <v>36</v>
      </c>
      <c r="J26" s="22" t="s">
        <v>36</v>
      </c>
      <c r="K26" s="18" t="s">
        <v>13</v>
      </c>
      <c r="L26" s="19" t="s">
        <v>15</v>
      </c>
      <c r="M26" s="22" t="s">
        <v>36</v>
      </c>
      <c r="N26" s="22" t="s">
        <v>15</v>
      </c>
      <c r="O26" s="22" t="s">
        <v>15</v>
      </c>
      <c r="P26" s="23" t="s">
        <v>12</v>
      </c>
      <c r="Q26" s="21" t="s">
        <v>12</v>
      </c>
      <c r="R26" s="23" t="s">
        <v>15</v>
      </c>
      <c r="S26" s="22" t="s">
        <v>13</v>
      </c>
      <c r="T26" s="22" t="s">
        <v>12</v>
      </c>
      <c r="U26" s="22" t="s">
        <v>84</v>
      </c>
      <c r="V26" s="22" t="s">
        <v>84</v>
      </c>
      <c r="W26" s="22" t="s">
        <v>84</v>
      </c>
      <c r="X26" s="18" t="s">
        <v>41</v>
      </c>
      <c r="Y26" s="19" t="s">
        <v>12</v>
      </c>
      <c r="Z26" s="49" t="s">
        <v>18</v>
      </c>
      <c r="AA26" s="49" t="s">
        <v>18</v>
      </c>
      <c r="AB26" s="22" t="s">
        <v>28</v>
      </c>
      <c r="AC26" s="49" t="s">
        <v>18</v>
      </c>
      <c r="AD26" s="49" t="s">
        <v>18</v>
      </c>
      <c r="AE26" s="22" t="s">
        <v>28</v>
      </c>
      <c r="AF26" s="49" t="s">
        <v>18</v>
      </c>
      <c r="AG26" s="24" t="s">
        <v>36</v>
      </c>
      <c r="AH26" s="50" t="s">
        <v>18</v>
      </c>
      <c r="AI26" s="21" t="s">
        <v>12</v>
      </c>
      <c r="AJ26" s="19" t="s">
        <v>20</v>
      </c>
      <c r="AK26" s="22" t="s">
        <v>28</v>
      </c>
      <c r="AL26" s="49" t="s">
        <v>18</v>
      </c>
      <c r="AM26" s="22" t="s">
        <v>131</v>
      </c>
      <c r="AN26" s="18" t="s">
        <v>84</v>
      </c>
      <c r="AO26" s="19" t="s">
        <v>15</v>
      </c>
      <c r="AP26" s="22" t="s">
        <v>13</v>
      </c>
    </row>
    <row r="27" spans="1:42" s="28" customFormat="1" x14ac:dyDescent="0.2">
      <c r="B27" s="29"/>
      <c r="F27" s="29"/>
      <c r="G27" s="56" t="s">
        <v>120</v>
      </c>
      <c r="H27" s="56" t="s">
        <v>120</v>
      </c>
      <c r="I27" s="29"/>
      <c r="J27" s="29"/>
      <c r="K27" s="30"/>
      <c r="M27" s="57" t="s">
        <v>121</v>
      </c>
      <c r="T27" s="57" t="s">
        <v>121</v>
      </c>
      <c r="U27" s="57" t="s">
        <v>121</v>
      </c>
      <c r="V27" s="57" t="s">
        <v>121</v>
      </c>
      <c r="W27" s="57" t="s">
        <v>121</v>
      </c>
      <c r="X27" s="57" t="s">
        <v>121</v>
      </c>
      <c r="Y27" s="57" t="s">
        <v>121</v>
      </c>
      <c r="AK27" s="56" t="s">
        <v>120</v>
      </c>
      <c r="AL27" s="56" t="s">
        <v>120</v>
      </c>
      <c r="AM27" s="57" t="s">
        <v>121</v>
      </c>
      <c r="AN27"/>
      <c r="AO27" s="5"/>
      <c r="AP27" s="67"/>
    </row>
    <row r="28" spans="1:42" s="28" customFormat="1" x14ac:dyDescent="0.2">
      <c r="B28" s="29"/>
      <c r="C28" s="29"/>
      <c r="D28" s="29"/>
      <c r="E28" s="29" t="s">
        <v>10</v>
      </c>
      <c r="F28" s="29"/>
      <c r="I28" s="29"/>
      <c r="J28" s="29"/>
      <c r="K28" s="30"/>
      <c r="AN28"/>
      <c r="AO28" s="5"/>
      <c r="AP28"/>
    </row>
    <row r="29" spans="1:42" s="31" customFormat="1" ht="48.75" customHeight="1" x14ac:dyDescent="0.2">
      <c r="F29" s="32">
        <v>1</v>
      </c>
      <c r="G29" s="203" t="s">
        <v>157</v>
      </c>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row>
    <row r="30" spans="1:42" s="31" customFormat="1" ht="272.25" customHeight="1" x14ac:dyDescent="0.2">
      <c r="F30" s="32">
        <f t="shared" ref="F30:F35" si="0" xml:space="preserve"> F29+1</f>
        <v>2</v>
      </c>
      <c r="G30" s="203" t="s">
        <v>126</v>
      </c>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row>
    <row r="31" spans="1:42" s="31" customFormat="1" ht="105.75" customHeight="1" x14ac:dyDescent="0.2">
      <c r="F31" s="32">
        <f t="shared" si="0"/>
        <v>3</v>
      </c>
      <c r="G31" s="203" t="s">
        <v>200</v>
      </c>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row>
    <row r="32" spans="1:42" s="31" customFormat="1" ht="15" customHeight="1" x14ac:dyDescent="0.2">
      <c r="F32" s="32">
        <f t="shared" si="0"/>
        <v>4</v>
      </c>
      <c r="G32" s="203" t="s">
        <v>29</v>
      </c>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row>
    <row r="33" spans="5:42" s="31" customFormat="1" ht="39" customHeight="1" x14ac:dyDescent="0.2">
      <c r="F33" s="32">
        <f t="shared" si="0"/>
        <v>5</v>
      </c>
      <c r="G33" s="203" t="s">
        <v>37</v>
      </c>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row>
    <row r="34" spans="5:42" s="31" customFormat="1" ht="20" customHeight="1" x14ac:dyDescent="0.2">
      <c r="E34" s="65"/>
      <c r="F34" s="32">
        <f t="shared" si="0"/>
        <v>6</v>
      </c>
      <c r="G34" s="203" t="s">
        <v>33</v>
      </c>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row>
    <row r="35" spans="5:42" s="31" customFormat="1" ht="287.25" customHeight="1" x14ac:dyDescent="0.2">
      <c r="F35" s="63">
        <f t="shared" si="0"/>
        <v>7</v>
      </c>
      <c r="G35" s="203" t="s">
        <v>159</v>
      </c>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row>
    <row r="36" spans="5:42" s="31" customFormat="1" ht="54" customHeight="1" x14ac:dyDescent="0.2">
      <c r="F36" s="32">
        <f>F35+ 1</f>
        <v>8</v>
      </c>
      <c r="G36" s="203" t="s">
        <v>192</v>
      </c>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row>
    <row r="37" spans="5:42" s="31" customFormat="1" ht="50.5" customHeight="1" x14ac:dyDescent="0.2">
      <c r="F37" s="32">
        <f>F36+ 1</f>
        <v>9</v>
      </c>
      <c r="G37" s="203" t="s">
        <v>34</v>
      </c>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row>
    <row r="38" spans="5:42" s="31" customFormat="1" ht="231.75" customHeight="1" x14ac:dyDescent="0.2">
      <c r="F38" s="32">
        <f xml:space="preserve"> F37+1</f>
        <v>10</v>
      </c>
      <c r="G38" s="203" t="s">
        <v>173</v>
      </c>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N38" s="52"/>
      <c r="AO38" s="52"/>
      <c r="AP38" s="52"/>
    </row>
    <row r="39" spans="5:42" s="31" customFormat="1" ht="401.25" customHeight="1" x14ac:dyDescent="0.2">
      <c r="E39" s="66"/>
      <c r="F39" s="62">
        <f xml:space="preserve"> F38+1</f>
        <v>11</v>
      </c>
      <c r="G39" s="207" t="s">
        <v>213</v>
      </c>
      <c r="H39" s="209"/>
      <c r="I39" s="209"/>
      <c r="J39" s="209"/>
      <c r="K39" s="209"/>
      <c r="L39" s="209"/>
      <c r="M39" s="209"/>
      <c r="N39" s="209"/>
      <c r="O39" s="209"/>
      <c r="P39" s="209"/>
      <c r="Q39" s="207" t="s">
        <v>196</v>
      </c>
      <c r="R39" s="208"/>
      <c r="S39" s="208"/>
      <c r="T39" s="208"/>
      <c r="U39" s="208"/>
      <c r="V39" s="208"/>
      <c r="W39" s="208"/>
      <c r="X39" s="208"/>
      <c r="Y39" s="208"/>
      <c r="Z39" s="208"/>
      <c r="AA39" s="208"/>
      <c r="AB39" s="208"/>
      <c r="AC39" s="208"/>
      <c r="AD39" s="208"/>
      <c r="AE39" s="208"/>
      <c r="AF39" s="208"/>
      <c r="AG39" s="208"/>
      <c r="AH39" s="208"/>
      <c r="AN39" s="52"/>
      <c r="AO39" s="52"/>
      <c r="AP39" s="52"/>
    </row>
    <row r="40" spans="5:42" s="31" customFormat="1" ht="109.5" customHeight="1" x14ac:dyDescent="0.2">
      <c r="F40" s="32">
        <f t="shared" ref="F40:F67" si="1" xml:space="preserve"> F39+1</f>
        <v>12</v>
      </c>
      <c r="G40" s="203" t="s">
        <v>81</v>
      </c>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N40" s="52"/>
      <c r="AO40" s="52"/>
      <c r="AP40" s="52"/>
    </row>
    <row r="41" spans="5:42" s="31" customFormat="1" ht="104.25" customHeight="1" x14ac:dyDescent="0.2">
      <c r="F41" s="62">
        <f t="shared" si="1"/>
        <v>13</v>
      </c>
      <c r="G41" s="203" t="s">
        <v>208</v>
      </c>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N41" s="52"/>
      <c r="AO41" s="52"/>
      <c r="AP41" s="52"/>
    </row>
    <row r="42" spans="5:42" s="31" customFormat="1" ht="52.5" customHeight="1" x14ac:dyDescent="0.2">
      <c r="F42" s="32">
        <f t="shared" si="1"/>
        <v>14</v>
      </c>
      <c r="G42" s="203" t="s">
        <v>180</v>
      </c>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N42" s="52"/>
      <c r="AO42" s="52"/>
      <c r="AP42" s="52"/>
    </row>
    <row r="43" spans="5:42" s="31" customFormat="1" ht="52.5" customHeight="1" x14ac:dyDescent="0.2">
      <c r="F43" s="32">
        <f t="shared" si="1"/>
        <v>15</v>
      </c>
      <c r="G43" s="203" t="s">
        <v>186</v>
      </c>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N43" s="52"/>
      <c r="AO43" s="52"/>
      <c r="AP43" s="52"/>
    </row>
    <row r="44" spans="5:42" s="31" customFormat="1" ht="34.5" customHeight="1" x14ac:dyDescent="0.2">
      <c r="F44" s="62">
        <f t="shared" si="1"/>
        <v>16</v>
      </c>
      <c r="G44" s="203" t="s">
        <v>98</v>
      </c>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N44" s="52"/>
      <c r="AO44" s="52"/>
      <c r="AP44" s="52"/>
    </row>
    <row r="45" spans="5:42" s="31" customFormat="1" ht="336" customHeight="1" x14ac:dyDescent="0.2">
      <c r="E45" s="68"/>
      <c r="F45" s="32">
        <f t="shared" si="1"/>
        <v>17</v>
      </c>
      <c r="G45" s="203" t="s">
        <v>201</v>
      </c>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N45" s="52"/>
      <c r="AO45" s="52"/>
      <c r="AP45" s="52"/>
    </row>
    <row r="46" spans="5:42" s="31" customFormat="1" x14ac:dyDescent="0.2">
      <c r="F46" s="62">
        <f t="shared" si="1"/>
        <v>18</v>
      </c>
      <c r="G46" s="203" t="s">
        <v>101</v>
      </c>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N46" s="52"/>
      <c r="AO46" s="52"/>
      <c r="AP46" s="52"/>
    </row>
    <row r="47" spans="5:42" s="31" customFormat="1" x14ac:dyDescent="0.2">
      <c r="E47" s="68"/>
      <c r="F47" s="63">
        <f t="shared" si="1"/>
        <v>19</v>
      </c>
      <c r="G47" s="203" t="s">
        <v>204</v>
      </c>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N47" s="52"/>
      <c r="AO47" s="52"/>
      <c r="AP47" s="52"/>
    </row>
    <row r="48" spans="5:42" s="31" customFormat="1" ht="51.75" customHeight="1" x14ac:dyDescent="0.2">
      <c r="F48" s="63">
        <f t="shared" si="1"/>
        <v>20</v>
      </c>
      <c r="G48" s="203" t="s">
        <v>125</v>
      </c>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N48" s="52"/>
      <c r="AO48" s="52"/>
      <c r="AP48" s="52"/>
    </row>
    <row r="49" spans="5:42" s="31" customFormat="1" x14ac:dyDescent="0.2">
      <c r="F49" s="63">
        <f t="shared" si="1"/>
        <v>21</v>
      </c>
      <c r="G49" s="203" t="s">
        <v>124</v>
      </c>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N49" s="52"/>
      <c r="AO49" s="52"/>
      <c r="AP49" s="52"/>
    </row>
    <row r="50" spans="5:42" s="31" customFormat="1" ht="90" customHeight="1" x14ac:dyDescent="0.2">
      <c r="F50" s="63">
        <f t="shared" si="1"/>
        <v>22</v>
      </c>
      <c r="G50" s="203" t="s">
        <v>147</v>
      </c>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N50" s="52"/>
      <c r="AO50" s="52"/>
      <c r="AP50" s="52"/>
    </row>
    <row r="51" spans="5:42" s="31" customFormat="1" ht="72" customHeight="1" x14ac:dyDescent="0.2">
      <c r="F51" s="63">
        <f t="shared" si="1"/>
        <v>23</v>
      </c>
      <c r="G51" s="203" t="s">
        <v>128</v>
      </c>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N51" s="52"/>
      <c r="AO51" s="52"/>
      <c r="AP51" s="52"/>
    </row>
    <row r="52" spans="5:42" s="31" customFormat="1" ht="42.75" customHeight="1" x14ac:dyDescent="0.2">
      <c r="F52" s="63">
        <f t="shared" si="1"/>
        <v>24</v>
      </c>
      <c r="G52" s="203" t="s">
        <v>133</v>
      </c>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N52" s="52"/>
      <c r="AO52" s="52"/>
      <c r="AP52" s="52"/>
    </row>
    <row r="53" spans="5:42" s="31" customFormat="1" ht="42.75" customHeight="1" x14ac:dyDescent="0.2">
      <c r="F53" s="32">
        <f t="shared" si="1"/>
        <v>25</v>
      </c>
      <c r="G53" s="203" t="s">
        <v>138</v>
      </c>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N53" s="52"/>
      <c r="AO53" s="52"/>
      <c r="AP53" s="52"/>
    </row>
    <row r="54" spans="5:42" s="31" customFormat="1" ht="80.5" customHeight="1" x14ac:dyDescent="0.2">
      <c r="F54" s="63">
        <f t="shared" si="1"/>
        <v>26</v>
      </c>
      <c r="G54" s="203" t="s">
        <v>139</v>
      </c>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N54" s="52"/>
      <c r="AO54" s="52"/>
      <c r="AP54" s="52"/>
    </row>
    <row r="55" spans="5:42" s="31" customFormat="1" ht="96.75" customHeight="1" x14ac:dyDescent="0.2">
      <c r="F55" s="32">
        <f t="shared" si="1"/>
        <v>27</v>
      </c>
      <c r="G55" s="203" t="s">
        <v>175</v>
      </c>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N55" s="52"/>
      <c r="AO55" s="52"/>
      <c r="AP55" s="52"/>
    </row>
    <row r="56" spans="5:42" s="31" customFormat="1" ht="223.5" customHeight="1" x14ac:dyDescent="0.2">
      <c r="E56" s="68"/>
      <c r="F56" s="32">
        <f t="shared" si="1"/>
        <v>28</v>
      </c>
      <c r="G56" s="203" t="s">
        <v>202</v>
      </c>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N56" s="52"/>
      <c r="AO56" s="52"/>
      <c r="AP56" s="52"/>
    </row>
    <row r="57" spans="5:42" s="31" customFormat="1" ht="75" customHeight="1" x14ac:dyDescent="0.2">
      <c r="F57" s="63">
        <f t="shared" si="1"/>
        <v>29</v>
      </c>
      <c r="G57" s="203" t="s">
        <v>143</v>
      </c>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N57" s="52"/>
      <c r="AO57" s="52"/>
      <c r="AP57" s="52"/>
    </row>
    <row r="58" spans="5:42" s="31" customFormat="1" ht="99.75" customHeight="1" x14ac:dyDescent="0.2">
      <c r="F58" s="63">
        <f t="shared" si="1"/>
        <v>30</v>
      </c>
      <c r="G58" s="203" t="s">
        <v>194</v>
      </c>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N58" s="52"/>
      <c r="AO58" s="52"/>
      <c r="AP58" s="52"/>
    </row>
    <row r="59" spans="5:42" s="31" customFormat="1" ht="161.25" customHeight="1" x14ac:dyDescent="0.2">
      <c r="F59" s="63">
        <f t="shared" si="1"/>
        <v>31</v>
      </c>
      <c r="G59" s="203" t="s">
        <v>184</v>
      </c>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N59" s="52"/>
      <c r="AO59" s="52"/>
      <c r="AP59" s="52"/>
    </row>
    <row r="60" spans="5:42" s="31" customFormat="1" ht="102.75" customHeight="1" x14ac:dyDescent="0.2">
      <c r="F60" s="32">
        <f t="shared" si="1"/>
        <v>32</v>
      </c>
      <c r="G60" s="203" t="s">
        <v>181</v>
      </c>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N60" s="52"/>
      <c r="AO60" s="52"/>
      <c r="AP60" s="52"/>
    </row>
    <row r="61" spans="5:42" s="31" customFormat="1" ht="126" customHeight="1" x14ac:dyDescent="0.2">
      <c r="F61" s="32">
        <f t="shared" si="1"/>
        <v>33</v>
      </c>
      <c r="G61" s="203" t="s">
        <v>203</v>
      </c>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N61" s="52"/>
      <c r="AO61" s="52"/>
      <c r="AP61" s="52"/>
    </row>
    <row r="62" spans="5:42" s="31" customFormat="1" ht="146.25" customHeight="1" x14ac:dyDescent="0.2">
      <c r="F62" s="63">
        <f t="shared" si="1"/>
        <v>34</v>
      </c>
      <c r="G62" s="203" t="s">
        <v>141</v>
      </c>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N62" s="52"/>
      <c r="AO62" s="52"/>
      <c r="AP62" s="52"/>
    </row>
    <row r="63" spans="5:42" s="31" customFormat="1" ht="44.25" customHeight="1" x14ac:dyDescent="0.2">
      <c r="F63" s="63">
        <f t="shared" si="1"/>
        <v>35</v>
      </c>
      <c r="G63" s="203" t="s">
        <v>144</v>
      </c>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N63" s="52"/>
      <c r="AO63" s="52"/>
      <c r="AP63" s="52"/>
    </row>
    <row r="64" spans="5:42" s="31" customFormat="1" ht="42.75" customHeight="1" x14ac:dyDescent="0.2">
      <c r="F64" s="63">
        <f t="shared" si="1"/>
        <v>36</v>
      </c>
      <c r="G64" s="203" t="s">
        <v>149</v>
      </c>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N64" s="52"/>
      <c r="AO64" s="52"/>
      <c r="AP64" s="52"/>
    </row>
    <row r="65" spans="5:42" s="31" customFormat="1" ht="42.75" customHeight="1" x14ac:dyDescent="0.2">
      <c r="F65" s="32">
        <f t="shared" si="1"/>
        <v>37</v>
      </c>
      <c r="G65" s="203" t="s">
        <v>163</v>
      </c>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N65" s="52"/>
      <c r="AO65" s="52"/>
      <c r="AP65" s="52"/>
    </row>
    <row r="66" spans="5:42" ht="117" customHeight="1" x14ac:dyDescent="0.2">
      <c r="E66" s="70"/>
      <c r="F66" s="51">
        <f t="shared" si="1"/>
        <v>38</v>
      </c>
      <c r="G66" s="203" t="s">
        <v>205</v>
      </c>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N66" s="52"/>
      <c r="AO66" s="52"/>
      <c r="AP66" s="52"/>
    </row>
    <row r="67" spans="5:42" s="52" customFormat="1" ht="187.5" customHeight="1" x14ac:dyDescent="0.2">
      <c r="F67" s="51">
        <f t="shared" si="1"/>
        <v>39</v>
      </c>
      <c r="G67" s="203" t="s">
        <v>212</v>
      </c>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row>
    <row r="68" spans="5:42" s="33" customFormat="1" x14ac:dyDescent="0.2">
      <c r="K68" s="34"/>
      <c r="L68" s="34"/>
      <c r="M68" s="34"/>
      <c r="N68" s="34"/>
      <c r="O68" s="211"/>
      <c r="P68" s="211"/>
      <c r="Q68" s="211"/>
      <c r="AE68" s="28"/>
      <c r="AF68" s="28"/>
      <c r="AN68" s="52"/>
      <c r="AO68" s="52"/>
      <c r="AP68" s="52"/>
    </row>
    <row r="69" spans="5:42" s="33" customFormat="1" x14ac:dyDescent="0.2">
      <c r="K69" s="34"/>
      <c r="L69" s="34"/>
      <c r="M69" s="34"/>
      <c r="N69" s="34"/>
      <c r="O69" s="211"/>
      <c r="P69" s="211"/>
      <c r="Q69" s="211"/>
      <c r="AE69" s="28"/>
      <c r="AF69" s="28"/>
      <c r="AN69" s="7"/>
      <c r="AO69" s="7"/>
      <c r="AP69"/>
    </row>
    <row r="70" spans="5:42" s="33" customFormat="1" x14ac:dyDescent="0.2">
      <c r="K70" s="34"/>
      <c r="L70" s="34"/>
      <c r="M70" s="34"/>
      <c r="N70" s="34"/>
      <c r="O70" s="211"/>
      <c r="P70" s="211"/>
      <c r="Q70" s="211"/>
      <c r="AE70" s="28"/>
      <c r="AF70" s="28"/>
      <c r="AN70" s="7"/>
      <c r="AO70" s="7"/>
      <c r="AP70"/>
    </row>
    <row r="71" spans="5:42" s="33" customFormat="1" x14ac:dyDescent="0.2">
      <c r="K71" s="34"/>
      <c r="L71" s="34"/>
      <c r="M71" s="34"/>
      <c r="N71" s="34"/>
      <c r="O71" s="211"/>
      <c r="P71" s="211"/>
      <c r="Q71" s="211"/>
      <c r="AE71" s="28"/>
      <c r="AF71" s="28"/>
      <c r="AN71"/>
      <c r="AO71"/>
      <c r="AP71"/>
    </row>
    <row r="72" spans="5:42" s="33" customFormat="1" x14ac:dyDescent="0.2">
      <c r="K72" s="34"/>
      <c r="L72" s="34"/>
      <c r="M72" s="34"/>
      <c r="N72" s="34"/>
      <c r="O72" s="211"/>
      <c r="P72" s="211"/>
      <c r="Q72" s="211"/>
      <c r="AE72" s="28"/>
      <c r="AF72" s="28"/>
      <c r="AN72"/>
      <c r="AO72"/>
      <c r="AP72"/>
    </row>
    <row r="73" spans="5:42" s="33" customFormat="1" x14ac:dyDescent="0.2">
      <c r="K73" s="34"/>
      <c r="L73" s="34"/>
      <c r="M73" s="34"/>
      <c r="N73" s="34"/>
      <c r="O73" s="211"/>
      <c r="P73" s="211"/>
      <c r="Q73" s="211"/>
      <c r="AE73" s="28"/>
      <c r="AF73" s="28"/>
      <c r="AN73"/>
      <c r="AO73"/>
      <c r="AP73"/>
    </row>
    <row r="74" spans="5:42" s="3" customFormat="1" x14ac:dyDescent="0.2">
      <c r="K74" s="4"/>
      <c r="L74" s="4"/>
      <c r="M74" s="4"/>
      <c r="N74" s="4"/>
      <c r="O74" s="212"/>
      <c r="P74" s="212"/>
      <c r="Q74" s="212"/>
      <c r="AE74"/>
      <c r="AF74"/>
      <c r="AN74"/>
      <c r="AO74"/>
      <c r="AP74"/>
    </row>
    <row r="75" spans="5:42" s="3" customFormat="1" x14ac:dyDescent="0.2">
      <c r="K75" s="4"/>
      <c r="L75" s="4"/>
      <c r="M75" s="4"/>
      <c r="N75" s="4"/>
      <c r="O75" s="212"/>
      <c r="P75" s="212"/>
      <c r="Q75" s="212"/>
      <c r="AE75"/>
      <c r="AF75"/>
      <c r="AN75"/>
      <c r="AO75"/>
      <c r="AP75"/>
    </row>
    <row r="76" spans="5:42" s="3" customFormat="1" x14ac:dyDescent="0.2">
      <c r="K76" s="4"/>
      <c r="L76" s="4"/>
      <c r="M76" s="4"/>
      <c r="N76" s="4"/>
      <c r="O76" s="212"/>
      <c r="P76" s="212"/>
      <c r="Q76" s="212"/>
      <c r="AE76"/>
      <c r="AF76"/>
      <c r="AN76"/>
      <c r="AO76"/>
      <c r="AP76"/>
    </row>
    <row r="77" spans="5:42" s="3" customFormat="1" x14ac:dyDescent="0.2">
      <c r="K77" s="4"/>
      <c r="L77" s="4"/>
      <c r="M77" s="4"/>
      <c r="N77" s="4"/>
      <c r="O77" s="212"/>
      <c r="P77" s="212"/>
      <c r="Q77" s="212"/>
      <c r="AE77"/>
      <c r="AF77"/>
      <c r="AN77"/>
      <c r="AO77"/>
      <c r="AP77"/>
    </row>
    <row r="78" spans="5:42" s="3" customFormat="1" x14ac:dyDescent="0.2">
      <c r="K78" s="4"/>
      <c r="L78" s="4"/>
      <c r="M78" s="4"/>
      <c r="N78" s="4"/>
      <c r="O78" s="212"/>
      <c r="P78" s="212"/>
      <c r="Q78" s="212"/>
      <c r="AE78"/>
      <c r="AF78"/>
      <c r="AN78"/>
      <c r="AO78"/>
      <c r="AP78"/>
    </row>
    <row r="79" spans="5:42" s="3" customFormat="1" x14ac:dyDescent="0.2">
      <c r="K79" s="4"/>
      <c r="L79" s="4"/>
      <c r="M79" s="4"/>
      <c r="N79" s="4"/>
      <c r="O79" s="212"/>
      <c r="P79" s="212"/>
      <c r="Q79" s="212"/>
      <c r="AE79"/>
      <c r="AF79"/>
      <c r="AN79"/>
      <c r="AO79"/>
      <c r="AP79"/>
    </row>
    <row r="80" spans="5:42" s="3" customFormat="1" x14ac:dyDescent="0.2">
      <c r="K80" s="4"/>
      <c r="L80" s="4"/>
      <c r="M80" s="4"/>
      <c r="N80" s="4"/>
      <c r="O80" s="212"/>
      <c r="P80" s="212"/>
      <c r="Q80" s="212"/>
      <c r="AE80"/>
      <c r="AF80"/>
      <c r="AN80"/>
      <c r="AO80"/>
      <c r="AP80"/>
    </row>
    <row r="81" spans="11:42" s="3" customFormat="1" x14ac:dyDescent="0.2">
      <c r="K81" s="4"/>
      <c r="L81" s="4"/>
      <c r="M81" s="4"/>
      <c r="N81" s="4"/>
      <c r="O81" s="212"/>
      <c r="P81" s="212"/>
      <c r="Q81" s="212"/>
      <c r="AE81"/>
      <c r="AF81"/>
      <c r="AN81"/>
      <c r="AO81"/>
      <c r="AP81"/>
    </row>
  </sheetData>
  <mergeCells count="86">
    <mergeCell ref="AP7:AP8"/>
    <mergeCell ref="G66:AH66"/>
    <mergeCell ref="G67:AH67"/>
    <mergeCell ref="AM7:AM8"/>
    <mergeCell ref="G51:AH51"/>
    <mergeCell ref="G46:AH46"/>
    <mergeCell ref="G47:AH47"/>
    <mergeCell ref="G48:AH48"/>
    <mergeCell ref="G49:AH49"/>
    <mergeCell ref="G45:AH45"/>
    <mergeCell ref="G34:AH34"/>
    <mergeCell ref="G35:AH35"/>
    <mergeCell ref="G41:AH41"/>
    <mergeCell ref="G50:AH50"/>
    <mergeCell ref="G42:AH42"/>
    <mergeCell ref="G36:AH36"/>
    <mergeCell ref="J1:AF1"/>
    <mergeCell ref="AG7:AJ7"/>
    <mergeCell ref="P7:R7"/>
    <mergeCell ref="AE7:AE8"/>
    <mergeCell ref="AF7:AF8"/>
    <mergeCell ref="O73:Q73"/>
    <mergeCell ref="O81:Q81"/>
    <mergeCell ref="O80:Q80"/>
    <mergeCell ref="O78:Q78"/>
    <mergeCell ref="O79:Q79"/>
    <mergeCell ref="O74:Q74"/>
    <mergeCell ref="O75:Q75"/>
    <mergeCell ref="O76:Q76"/>
    <mergeCell ref="O77:Q77"/>
    <mergeCell ref="O71:Q71"/>
    <mergeCell ref="O72:Q72"/>
    <mergeCell ref="O70:Q70"/>
    <mergeCell ref="O69:Q69"/>
    <mergeCell ref="G33:AH33"/>
    <mergeCell ref="G52:AH52"/>
    <mergeCell ref="G37:AH37"/>
    <mergeCell ref="G38:AH38"/>
    <mergeCell ref="G44:AH44"/>
    <mergeCell ref="O68:Q68"/>
    <mergeCell ref="A7:B7"/>
    <mergeCell ref="T7:T8"/>
    <mergeCell ref="AK7:AK8"/>
    <mergeCell ref="AL7:AL8"/>
    <mergeCell ref="I7:I8"/>
    <mergeCell ref="K7:L7"/>
    <mergeCell ref="J7:J8"/>
    <mergeCell ref="S7:S8"/>
    <mergeCell ref="AA7:AA8"/>
    <mergeCell ref="O7:O8"/>
    <mergeCell ref="AD7:AD8"/>
    <mergeCell ref="AB7:AB8"/>
    <mergeCell ref="AC7:AC8"/>
    <mergeCell ref="Z7:Z8"/>
    <mergeCell ref="N7:N8"/>
    <mergeCell ref="C7:E7"/>
    <mergeCell ref="F7:F8"/>
    <mergeCell ref="G43:AH43"/>
    <mergeCell ref="Q39:AH39"/>
    <mergeCell ref="G40:AH40"/>
    <mergeCell ref="G7:G8"/>
    <mergeCell ref="H7:H8"/>
    <mergeCell ref="G29:AH29"/>
    <mergeCell ref="G30:AH30"/>
    <mergeCell ref="G31:AH31"/>
    <mergeCell ref="G39:P39"/>
    <mergeCell ref="M7:M8"/>
    <mergeCell ref="V7:V8"/>
    <mergeCell ref="W7:W8"/>
    <mergeCell ref="X7:Y7"/>
    <mergeCell ref="U7:U8"/>
    <mergeCell ref="G32:AH32"/>
    <mergeCell ref="AN7:AO7"/>
    <mergeCell ref="G63:AH63"/>
    <mergeCell ref="G65:AH65"/>
    <mergeCell ref="G58:AH58"/>
    <mergeCell ref="G59:AH59"/>
    <mergeCell ref="G60:AH60"/>
    <mergeCell ref="G61:AH61"/>
    <mergeCell ref="G62:AH62"/>
    <mergeCell ref="G64:AH64"/>
    <mergeCell ref="G53:AH53"/>
    <mergeCell ref="G54:AH54"/>
    <mergeCell ref="G55:AH55"/>
    <mergeCell ref="G56:AH56"/>
    <mergeCell ref="G57:AH57"/>
  </mergeCells>
  <pageMargins left="0.70866141732283472" right="0.70866141732283472" top="0.74803149606299213" bottom="0.74803149606299213" header="0.31496062992125984" footer="0.31496062992125984"/>
  <pageSetup paperSize="8"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N54"/>
  <sheetViews>
    <sheetView showGridLines="0" zoomScale="115" zoomScaleNormal="115" workbookViewId="0">
      <selection activeCell="B10" sqref="A10:XFD10"/>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33203125" bestFit="1" customWidth="1"/>
    <col min="6" max="6" width="15.5" customWidth="1"/>
    <col min="7" max="7" width="17.6640625" bestFit="1" customWidth="1"/>
    <col min="8" max="8" width="17.6640625" customWidth="1"/>
    <col min="9" max="9" width="17.6640625" bestFit="1" customWidth="1"/>
    <col min="10" max="10" width="17.1640625" bestFit="1" customWidth="1"/>
    <col min="11" max="11" width="14.5" customWidth="1"/>
    <col min="12" max="12" width="17.5" customWidth="1"/>
    <col min="13" max="13" width="15.83203125" customWidth="1"/>
    <col min="14" max="14" width="19.33203125" bestFit="1" customWidth="1"/>
    <col min="15" max="15" width="16.5" bestFit="1" customWidth="1"/>
    <col min="16" max="16" width="18.33203125" bestFit="1" customWidth="1"/>
    <col min="17" max="17" width="13.5" bestFit="1" customWidth="1"/>
    <col min="18" max="18" width="17.6640625" bestFit="1" customWidth="1"/>
    <col min="19" max="19" width="16.6640625" bestFit="1" customWidth="1"/>
    <col min="20" max="20" width="18.33203125" customWidth="1"/>
    <col min="21" max="22" width="17.1640625" customWidth="1"/>
    <col min="23" max="24" width="15.5" bestFit="1" customWidth="1"/>
    <col min="25" max="26" width="16.5" bestFit="1" customWidth="1"/>
    <col min="27" max="27" width="16.83203125" bestFit="1" customWidth="1"/>
    <col min="28" max="28" width="12.83203125" bestFit="1" customWidth="1"/>
    <col min="29" max="29" width="22.5" bestFit="1" customWidth="1"/>
    <col min="30" max="30" width="20.5" bestFit="1" customWidth="1"/>
    <col min="31" max="31" width="19.6640625" bestFit="1" customWidth="1"/>
    <col min="32" max="32" width="18" bestFit="1" customWidth="1"/>
    <col min="33" max="33" width="26.83203125" bestFit="1" customWidth="1"/>
    <col min="34" max="34" width="17.6640625" bestFit="1" customWidth="1"/>
    <col min="35" max="35" width="15.5" bestFit="1" customWidth="1"/>
    <col min="36" max="38" width="17.1640625" customWidth="1"/>
    <col min="39" max="39" width="19.83203125" customWidth="1"/>
    <col min="40" max="40" width="18.5" customWidth="1"/>
  </cols>
  <sheetData>
    <row r="1" spans="1:40" ht="16" x14ac:dyDescent="0.2">
      <c r="K1" s="219" t="s">
        <v>211</v>
      </c>
      <c r="L1" s="220"/>
      <c r="M1" s="220"/>
      <c r="N1" s="220"/>
      <c r="O1" s="220"/>
      <c r="P1" s="220"/>
      <c r="Q1" s="220"/>
      <c r="R1" s="220"/>
      <c r="S1" s="220"/>
    </row>
    <row r="2" spans="1:40" x14ac:dyDescent="0.2">
      <c r="K2" s="8" t="s">
        <v>209</v>
      </c>
      <c r="L2" s="9"/>
      <c r="M2" s="9"/>
      <c r="T2" s="8"/>
      <c r="U2" s="9"/>
      <c r="V2" s="9"/>
    </row>
    <row r="3" spans="1:40" x14ac:dyDescent="0.2">
      <c r="K3" s="8" t="s">
        <v>3</v>
      </c>
      <c r="L3" s="8"/>
      <c r="M3" s="9"/>
      <c r="R3" s="1"/>
      <c r="T3" s="8"/>
      <c r="U3" s="8"/>
      <c r="V3" s="9"/>
      <c r="AA3" s="1"/>
    </row>
    <row r="4" spans="1:40" x14ac:dyDescent="0.2">
      <c r="K4" s="10" t="s">
        <v>45</v>
      </c>
      <c r="L4" s="8"/>
      <c r="M4" s="9"/>
      <c r="T4" s="10"/>
      <c r="U4" s="8"/>
      <c r="V4" s="9"/>
    </row>
    <row r="5" spans="1:40" x14ac:dyDescent="0.2">
      <c r="K5" s="8" t="s">
        <v>4</v>
      </c>
      <c r="L5" s="8"/>
      <c r="M5" s="9"/>
      <c r="T5" s="8"/>
      <c r="U5" s="8"/>
      <c r="V5" s="9"/>
    </row>
    <row r="6" spans="1:40" ht="16" thickBot="1" x14ac:dyDescent="0.25"/>
    <row r="7" spans="1:40" s="11" customFormat="1" ht="15" customHeight="1" x14ac:dyDescent="0.2">
      <c r="A7" s="186" t="s">
        <v>53</v>
      </c>
      <c r="B7" s="221"/>
      <c r="C7" s="201" t="s">
        <v>87</v>
      </c>
      <c r="D7" s="199"/>
      <c r="E7" s="202"/>
      <c r="F7" s="191" t="s">
        <v>54</v>
      </c>
      <c r="G7" s="186" t="s">
        <v>111</v>
      </c>
      <c r="H7" s="225"/>
      <c r="I7" s="191" t="s">
        <v>48</v>
      </c>
      <c r="J7" s="191" t="s">
        <v>112</v>
      </c>
      <c r="K7" s="191" t="s">
        <v>113</v>
      </c>
      <c r="L7" s="191" t="s">
        <v>114</v>
      </c>
      <c r="M7" s="191" t="s">
        <v>115</v>
      </c>
      <c r="N7" s="231" t="s">
        <v>116</v>
      </c>
      <c r="O7" s="232"/>
      <c r="P7" s="232"/>
      <c r="Q7" s="233"/>
      <c r="R7" s="191" t="s">
        <v>22</v>
      </c>
      <c r="S7" s="186" t="s">
        <v>25</v>
      </c>
      <c r="T7" s="225"/>
      <c r="U7" s="191" t="s">
        <v>117</v>
      </c>
      <c r="V7" s="191" t="s">
        <v>118</v>
      </c>
      <c r="W7" s="186" t="s">
        <v>55</v>
      </c>
      <c r="X7" s="199"/>
      <c r="Y7" s="225"/>
      <c r="Z7" s="191" t="s">
        <v>26</v>
      </c>
      <c r="AA7" s="227" t="s">
        <v>62</v>
      </c>
      <c r="AB7" s="228"/>
      <c r="AC7" s="228"/>
      <c r="AD7" s="229"/>
      <c r="AE7" s="186" t="s">
        <v>89</v>
      </c>
      <c r="AF7" s="199"/>
      <c r="AG7" s="224"/>
      <c r="AH7" s="222" t="s">
        <v>50</v>
      </c>
      <c r="AI7" s="223"/>
      <c r="AJ7" s="186" t="s">
        <v>56</v>
      </c>
      <c r="AK7" s="199"/>
      <c r="AL7" s="221"/>
      <c r="AM7" s="191" t="s">
        <v>150</v>
      </c>
      <c r="AN7" s="191" t="s">
        <v>193</v>
      </c>
    </row>
    <row r="8" spans="1:40" s="11" customFormat="1" ht="17.25" customHeight="1" x14ac:dyDescent="0.2">
      <c r="A8" s="12" t="s">
        <v>39</v>
      </c>
      <c r="B8" s="13" t="s">
        <v>40</v>
      </c>
      <c r="C8" s="42" t="s">
        <v>160</v>
      </c>
      <c r="D8" s="59" t="s">
        <v>21</v>
      </c>
      <c r="E8" s="43" t="s">
        <v>86</v>
      </c>
      <c r="F8" s="230"/>
      <c r="G8" s="12" t="s">
        <v>64</v>
      </c>
      <c r="H8" s="13" t="s">
        <v>65</v>
      </c>
      <c r="I8" s="226"/>
      <c r="J8" s="226"/>
      <c r="K8" s="226"/>
      <c r="L8" s="226"/>
      <c r="M8" s="226"/>
      <c r="N8" s="16" t="s">
        <v>46</v>
      </c>
      <c r="O8" s="17" t="s">
        <v>78</v>
      </c>
      <c r="P8" s="17" t="s">
        <v>47</v>
      </c>
      <c r="Q8" s="55" t="s">
        <v>80</v>
      </c>
      <c r="R8" s="226"/>
      <c r="S8" s="12" t="s">
        <v>35</v>
      </c>
      <c r="T8" s="13" t="s">
        <v>38</v>
      </c>
      <c r="U8" s="226"/>
      <c r="V8" s="226"/>
      <c r="W8" s="14" t="s">
        <v>21</v>
      </c>
      <c r="X8" s="15" t="s">
        <v>11</v>
      </c>
      <c r="Y8" s="14" t="s">
        <v>14</v>
      </c>
      <c r="Z8" s="226"/>
      <c r="AA8" s="38" t="s">
        <v>60</v>
      </c>
      <c r="AB8" s="39" t="s">
        <v>61</v>
      </c>
      <c r="AC8" s="39" t="s">
        <v>90</v>
      </c>
      <c r="AD8" s="40" t="s">
        <v>91</v>
      </c>
      <c r="AE8" s="12" t="s">
        <v>63</v>
      </c>
      <c r="AF8" s="26" t="s">
        <v>31</v>
      </c>
      <c r="AG8" s="27" t="s">
        <v>77</v>
      </c>
      <c r="AH8" s="12" t="s">
        <v>92</v>
      </c>
      <c r="AI8" s="12" t="s">
        <v>119</v>
      </c>
      <c r="AJ8" s="12" t="s">
        <v>23</v>
      </c>
      <c r="AK8" s="26" t="s">
        <v>24</v>
      </c>
      <c r="AL8" s="27" t="s">
        <v>38</v>
      </c>
      <c r="AM8" s="192"/>
      <c r="AN8" s="192"/>
    </row>
    <row r="9" spans="1:40" s="25" customFormat="1" ht="13.5" customHeight="1" thickBot="1" x14ac:dyDescent="0.25">
      <c r="A9" s="18" t="s">
        <v>41</v>
      </c>
      <c r="B9" s="19" t="s">
        <v>12</v>
      </c>
      <c r="C9" s="18" t="s">
        <v>84</v>
      </c>
      <c r="D9" s="60" t="s">
        <v>12</v>
      </c>
      <c r="E9" s="19" t="s">
        <v>83</v>
      </c>
      <c r="F9" s="20" t="s">
        <v>12</v>
      </c>
      <c r="G9" s="18" t="s">
        <v>13</v>
      </c>
      <c r="H9" s="19" t="s">
        <v>66</v>
      </c>
      <c r="I9" s="22" t="s">
        <v>36</v>
      </c>
      <c r="J9" s="22" t="s">
        <v>18</v>
      </c>
      <c r="K9" s="22" t="s">
        <v>18</v>
      </c>
      <c r="L9" s="21" t="s">
        <v>12</v>
      </c>
      <c r="M9" s="18" t="s">
        <v>58</v>
      </c>
      <c r="N9" s="24" t="s">
        <v>18</v>
      </c>
      <c r="O9" s="21" t="s">
        <v>18</v>
      </c>
      <c r="P9" s="21" t="s">
        <v>18</v>
      </c>
      <c r="Q9" s="19" t="s">
        <v>18</v>
      </c>
      <c r="R9" s="22" t="s">
        <v>36</v>
      </c>
      <c r="S9" s="18" t="s">
        <v>13</v>
      </c>
      <c r="T9" s="19" t="s">
        <v>15</v>
      </c>
      <c r="U9" s="22" t="s">
        <v>15</v>
      </c>
      <c r="V9" s="22" t="s">
        <v>15</v>
      </c>
      <c r="W9" s="23" t="s">
        <v>12</v>
      </c>
      <c r="X9" s="21" t="s">
        <v>12</v>
      </c>
      <c r="Y9" s="23" t="s">
        <v>15</v>
      </c>
      <c r="Z9" s="22" t="s">
        <v>13</v>
      </c>
      <c r="AA9" s="35" t="s">
        <v>18</v>
      </c>
      <c r="AB9" s="6" t="s">
        <v>28</v>
      </c>
      <c r="AC9" s="36" t="s">
        <v>100</v>
      </c>
      <c r="AD9" s="37" t="s">
        <v>18</v>
      </c>
      <c r="AE9" s="18" t="s">
        <v>100</v>
      </c>
      <c r="AF9" s="24" t="s">
        <v>18</v>
      </c>
      <c r="AG9" s="20" t="s">
        <v>18</v>
      </c>
      <c r="AH9" s="18" t="s">
        <v>36</v>
      </c>
      <c r="AI9" s="23" t="s">
        <v>12</v>
      </c>
      <c r="AJ9" s="18" t="s">
        <v>15</v>
      </c>
      <c r="AK9" s="24" t="s">
        <v>15</v>
      </c>
      <c r="AL9" s="20" t="s">
        <v>15</v>
      </c>
      <c r="AM9" s="22" t="s">
        <v>131</v>
      </c>
      <c r="AN9" s="22" t="s">
        <v>13</v>
      </c>
    </row>
    <row r="10" spans="1:40" s="25" customFormat="1" ht="13.5" customHeight="1" thickBot="1" x14ac:dyDescent="0.25">
      <c r="A10" s="18"/>
      <c r="B10" s="19"/>
      <c r="C10" s="18"/>
      <c r="D10" s="60"/>
      <c r="E10" s="19"/>
      <c r="F10" s="20"/>
      <c r="G10" s="18"/>
      <c r="H10" s="19"/>
      <c r="I10" s="22"/>
      <c r="J10" s="22"/>
      <c r="K10" s="22"/>
      <c r="L10" s="21"/>
      <c r="M10" s="18"/>
      <c r="N10" s="24"/>
      <c r="O10" s="21"/>
      <c r="P10" s="21"/>
      <c r="Q10" s="19"/>
      <c r="R10" s="22"/>
      <c r="S10" s="18"/>
      <c r="T10" s="19"/>
      <c r="U10" s="22"/>
      <c r="V10" s="22"/>
      <c r="W10" s="23"/>
      <c r="X10" s="21"/>
      <c r="Y10" s="23"/>
      <c r="Z10" s="22"/>
      <c r="AA10" s="35"/>
      <c r="AB10" s="6"/>
      <c r="AC10" s="36"/>
      <c r="AD10" s="37"/>
      <c r="AE10" s="18"/>
      <c r="AF10" s="24"/>
      <c r="AG10" s="20"/>
      <c r="AH10" s="18"/>
      <c r="AI10" s="23"/>
      <c r="AJ10" s="18"/>
      <c r="AK10" s="24"/>
      <c r="AL10" s="20"/>
      <c r="AM10" s="22"/>
      <c r="AN10" s="22"/>
    </row>
    <row r="11" spans="1:40" s="25" customFormat="1" ht="13.5" customHeight="1" thickBot="1" x14ac:dyDescent="0.25">
      <c r="A11" s="18"/>
      <c r="B11" s="19"/>
      <c r="C11" s="18"/>
      <c r="D11" s="60"/>
      <c r="E11" s="19"/>
      <c r="F11" s="20"/>
      <c r="G11" s="18"/>
      <c r="H11" s="19"/>
      <c r="I11" s="22"/>
      <c r="J11" s="22"/>
      <c r="K11" s="22"/>
      <c r="L11" s="21"/>
      <c r="M11" s="18"/>
      <c r="N11" s="24"/>
      <c r="O11" s="21"/>
      <c r="P11" s="21"/>
      <c r="Q11" s="19"/>
      <c r="R11" s="22"/>
      <c r="S11" s="18"/>
      <c r="T11" s="19"/>
      <c r="U11" s="22"/>
      <c r="V11" s="22"/>
      <c r="W11" s="23"/>
      <c r="X11" s="21"/>
      <c r="Y11" s="23"/>
      <c r="Z11" s="22"/>
      <c r="AA11" s="35"/>
      <c r="AB11" s="6"/>
      <c r="AC11" s="36"/>
      <c r="AD11" s="37"/>
      <c r="AE11" s="18"/>
      <c r="AF11" s="24"/>
      <c r="AG11" s="20"/>
      <c r="AH11" s="18"/>
      <c r="AI11" s="23"/>
      <c r="AJ11" s="18"/>
      <c r="AK11" s="24"/>
      <c r="AL11" s="20"/>
      <c r="AM11" s="22"/>
      <c r="AN11" s="22"/>
    </row>
    <row r="12" spans="1:40" s="25" customFormat="1" ht="13.5" customHeight="1" thickBot="1" x14ac:dyDescent="0.25">
      <c r="A12" s="18" t="s">
        <v>41</v>
      </c>
      <c r="B12" s="19" t="s">
        <v>12</v>
      </c>
      <c r="C12" s="18" t="s">
        <v>84</v>
      </c>
      <c r="D12" s="60" t="s">
        <v>12</v>
      </c>
      <c r="E12" s="19" t="s">
        <v>83</v>
      </c>
      <c r="F12" s="20" t="s">
        <v>12</v>
      </c>
      <c r="G12" s="18" t="s">
        <v>13</v>
      </c>
      <c r="H12" s="19" t="s">
        <v>66</v>
      </c>
      <c r="I12" s="22" t="s">
        <v>36</v>
      </c>
      <c r="J12" s="22" t="s">
        <v>18</v>
      </c>
      <c r="K12" s="22" t="s">
        <v>18</v>
      </c>
      <c r="L12" s="21" t="s">
        <v>12</v>
      </c>
      <c r="M12" s="18" t="s">
        <v>58</v>
      </c>
      <c r="N12" s="24" t="s">
        <v>18</v>
      </c>
      <c r="O12" s="21" t="s">
        <v>18</v>
      </c>
      <c r="P12" s="21" t="s">
        <v>18</v>
      </c>
      <c r="Q12" s="19" t="s">
        <v>18</v>
      </c>
      <c r="R12" s="22" t="s">
        <v>36</v>
      </c>
      <c r="S12" s="18" t="s">
        <v>13</v>
      </c>
      <c r="T12" s="19" t="s">
        <v>15</v>
      </c>
      <c r="U12" s="22" t="s">
        <v>15</v>
      </c>
      <c r="V12" s="22" t="s">
        <v>15</v>
      </c>
      <c r="W12" s="23" t="s">
        <v>12</v>
      </c>
      <c r="X12" s="21" t="s">
        <v>12</v>
      </c>
      <c r="Y12" s="23" t="s">
        <v>15</v>
      </c>
      <c r="Z12" s="22" t="s">
        <v>13</v>
      </c>
      <c r="AA12" s="35" t="s">
        <v>18</v>
      </c>
      <c r="AB12" s="6" t="s">
        <v>28</v>
      </c>
      <c r="AC12" s="36" t="s">
        <v>100</v>
      </c>
      <c r="AD12" s="37" t="s">
        <v>18</v>
      </c>
      <c r="AE12" s="18" t="s">
        <v>100</v>
      </c>
      <c r="AF12" s="24" t="s">
        <v>18</v>
      </c>
      <c r="AG12" s="20" t="s">
        <v>18</v>
      </c>
      <c r="AH12" s="18" t="s">
        <v>36</v>
      </c>
      <c r="AI12" s="23" t="s">
        <v>12</v>
      </c>
      <c r="AJ12" s="18" t="s">
        <v>15</v>
      </c>
      <c r="AK12" s="24" t="s">
        <v>15</v>
      </c>
      <c r="AL12" s="20" t="s">
        <v>15</v>
      </c>
      <c r="AM12" s="22" t="s">
        <v>131</v>
      </c>
      <c r="AN12" s="22" t="s">
        <v>13</v>
      </c>
    </row>
    <row r="13" spans="1:40" s="28" customFormat="1" x14ac:dyDescent="0.2">
      <c r="B13" s="29"/>
      <c r="F13" s="29"/>
      <c r="G13" s="56" t="s">
        <v>120</v>
      </c>
      <c r="H13" s="56" t="s">
        <v>120</v>
      </c>
      <c r="I13" s="29"/>
      <c r="J13" s="56" t="s">
        <v>120</v>
      </c>
      <c r="K13" s="56" t="s">
        <v>120</v>
      </c>
      <c r="L13" s="56" t="s">
        <v>120</v>
      </c>
      <c r="M13" s="56" t="s">
        <v>120</v>
      </c>
      <c r="N13" s="56" t="s">
        <v>120</v>
      </c>
      <c r="O13" s="56" t="s">
        <v>120</v>
      </c>
      <c r="P13" s="56" t="s">
        <v>120</v>
      </c>
      <c r="Q13" s="56" t="s">
        <v>120</v>
      </c>
      <c r="R13" s="29"/>
      <c r="S13" s="30"/>
      <c r="U13" s="56" t="s">
        <v>120</v>
      </c>
      <c r="V13" s="56" t="s">
        <v>120</v>
      </c>
      <c r="AA13" s="57" t="s">
        <v>121</v>
      </c>
      <c r="AB13" s="57" t="s">
        <v>121</v>
      </c>
      <c r="AC13" s="57" t="s">
        <v>121</v>
      </c>
      <c r="AD13" s="57" t="s">
        <v>121</v>
      </c>
      <c r="AE13" s="57" t="s">
        <v>121</v>
      </c>
      <c r="AF13" s="57" t="s">
        <v>121</v>
      </c>
      <c r="AG13" s="57" t="s">
        <v>121</v>
      </c>
      <c r="AI13" s="56" t="s">
        <v>120</v>
      </c>
      <c r="AM13" s="57" t="s">
        <v>121</v>
      </c>
      <c r="AN13" s="67"/>
    </row>
    <row r="14" spans="1:40" s="28" customFormat="1" x14ac:dyDescent="0.2">
      <c r="B14" s="29"/>
      <c r="C14" s="29"/>
      <c r="D14" s="29"/>
      <c r="E14" s="29" t="s">
        <v>10</v>
      </c>
      <c r="F14" s="29"/>
      <c r="I14" s="29"/>
      <c r="J14" s="29"/>
      <c r="R14" s="29"/>
      <c r="S14" s="30"/>
      <c r="AN14"/>
    </row>
    <row r="15" spans="1:40" s="31" customFormat="1" ht="35.25" customHeight="1" x14ac:dyDescent="0.2">
      <c r="F15" s="32">
        <f t="shared" ref="F15:F22" si="0">ROW(A1)</f>
        <v>1</v>
      </c>
      <c r="G15" s="203" t="s">
        <v>99</v>
      </c>
      <c r="H15" s="203"/>
      <c r="I15" s="203"/>
      <c r="J15" s="203"/>
      <c r="K15" s="203"/>
      <c r="L15" s="203"/>
      <c r="M15" s="203"/>
      <c r="N15" s="203"/>
      <c r="O15" s="203"/>
      <c r="P15" s="203"/>
      <c r="Q15" s="203"/>
      <c r="R15" s="203"/>
      <c r="S15" s="204"/>
      <c r="T15" s="204"/>
      <c r="U15" s="204"/>
      <c r="V15" s="204"/>
      <c r="W15" s="204"/>
      <c r="X15" s="204"/>
      <c r="Y15" s="204"/>
      <c r="Z15" s="204"/>
    </row>
    <row r="16" spans="1:40" s="31" customFormat="1" ht="378" customHeight="1" x14ac:dyDescent="0.2">
      <c r="F16" s="32">
        <f t="shared" si="0"/>
        <v>2</v>
      </c>
      <c r="G16" s="203" t="s">
        <v>94</v>
      </c>
      <c r="H16" s="203"/>
      <c r="I16" s="203"/>
      <c r="J16" s="203"/>
      <c r="K16" s="203"/>
      <c r="L16" s="203"/>
      <c r="M16" s="203"/>
      <c r="N16" s="203"/>
      <c r="O16" s="203"/>
      <c r="P16" s="203"/>
      <c r="Q16" s="203"/>
      <c r="R16" s="203"/>
      <c r="S16" s="204"/>
      <c r="T16" s="204"/>
      <c r="U16" s="204"/>
      <c r="V16" s="204"/>
      <c r="W16" s="204"/>
      <c r="X16" s="204"/>
      <c r="Y16" s="204"/>
      <c r="Z16" s="204"/>
    </row>
    <row r="17" spans="1:40" s="31" customFormat="1" ht="164.5" customHeight="1" x14ac:dyDescent="0.2">
      <c r="F17" s="32">
        <f t="shared" si="0"/>
        <v>3</v>
      </c>
      <c r="G17" s="203" t="s">
        <v>49</v>
      </c>
      <c r="H17" s="203"/>
      <c r="I17" s="203"/>
      <c r="J17" s="203"/>
      <c r="K17" s="203"/>
      <c r="L17" s="203"/>
      <c r="M17" s="203"/>
      <c r="N17" s="203"/>
      <c r="O17" s="203"/>
      <c r="P17" s="203"/>
      <c r="Q17" s="203"/>
      <c r="R17" s="203"/>
      <c r="S17" s="204"/>
      <c r="T17" s="204"/>
      <c r="U17" s="204"/>
      <c r="V17" s="204"/>
      <c r="W17" s="204"/>
      <c r="X17" s="204"/>
      <c r="Y17" s="204"/>
      <c r="Z17" s="204"/>
    </row>
    <row r="18" spans="1:40" s="31" customFormat="1" ht="164.5" customHeight="1" x14ac:dyDescent="0.2">
      <c r="F18" s="62">
        <f t="shared" si="0"/>
        <v>4</v>
      </c>
      <c r="G18" s="203" t="s">
        <v>88</v>
      </c>
      <c r="H18" s="203"/>
      <c r="I18" s="203"/>
      <c r="J18" s="203"/>
      <c r="K18" s="203"/>
      <c r="L18" s="203"/>
      <c r="M18" s="203"/>
      <c r="N18" s="203"/>
      <c r="O18" s="203"/>
      <c r="P18" s="203"/>
      <c r="Q18" s="203"/>
      <c r="R18" s="203"/>
      <c r="S18" s="204"/>
      <c r="T18" s="204"/>
      <c r="U18" s="204"/>
      <c r="V18" s="204"/>
      <c r="W18" s="204"/>
      <c r="X18" s="204"/>
      <c r="Y18" s="204"/>
      <c r="Z18" s="204"/>
    </row>
    <row r="19" spans="1:40" s="31" customFormat="1" ht="93.5" customHeight="1" x14ac:dyDescent="0.2">
      <c r="F19" s="32">
        <f t="shared" si="0"/>
        <v>5</v>
      </c>
      <c r="G19" s="203" t="s">
        <v>32</v>
      </c>
      <c r="H19" s="203"/>
      <c r="I19" s="203"/>
      <c r="J19" s="203"/>
      <c r="K19" s="203"/>
      <c r="L19" s="203"/>
      <c r="M19" s="203"/>
      <c r="N19" s="203"/>
      <c r="O19" s="203"/>
      <c r="P19" s="203"/>
      <c r="Q19" s="203"/>
      <c r="R19" s="203"/>
      <c r="S19" s="204"/>
      <c r="T19" s="204"/>
      <c r="U19" s="204"/>
      <c r="V19" s="204"/>
      <c r="W19" s="204"/>
      <c r="X19" s="204"/>
      <c r="Y19" s="204"/>
      <c r="Z19" s="204"/>
    </row>
    <row r="20" spans="1:40" s="31" customFormat="1" ht="15" customHeight="1" x14ac:dyDescent="0.2">
      <c r="F20" s="32">
        <f t="shared" si="0"/>
        <v>6</v>
      </c>
      <c r="G20" s="203" t="s">
        <v>29</v>
      </c>
      <c r="H20" s="203"/>
      <c r="I20" s="203"/>
      <c r="J20" s="203"/>
      <c r="K20" s="203"/>
      <c r="L20" s="203"/>
      <c r="M20" s="203"/>
      <c r="N20" s="203"/>
      <c r="O20" s="203"/>
      <c r="P20" s="203"/>
      <c r="Q20" s="203"/>
      <c r="R20" s="203"/>
      <c r="S20" s="204"/>
      <c r="T20" s="204"/>
      <c r="U20" s="204"/>
      <c r="V20" s="204"/>
      <c r="W20" s="204"/>
      <c r="X20" s="204"/>
      <c r="Y20" s="204"/>
      <c r="Z20" s="204"/>
    </row>
    <row r="21" spans="1:40" s="31" customFormat="1" ht="39" customHeight="1" x14ac:dyDescent="0.2">
      <c r="F21" s="32">
        <f t="shared" si="0"/>
        <v>7</v>
      </c>
      <c r="G21" s="203" t="s">
        <v>37</v>
      </c>
      <c r="H21" s="203"/>
      <c r="I21" s="203"/>
      <c r="J21" s="203"/>
      <c r="K21" s="203"/>
      <c r="L21" s="203"/>
      <c r="M21" s="203"/>
      <c r="N21" s="203"/>
      <c r="O21" s="203"/>
      <c r="P21" s="203"/>
      <c r="Q21" s="203"/>
      <c r="R21" s="203"/>
      <c r="S21" s="204"/>
      <c r="T21" s="204"/>
      <c r="U21" s="204"/>
      <c r="V21" s="204"/>
      <c r="W21" s="204"/>
      <c r="X21" s="204"/>
      <c r="Y21" s="204"/>
      <c r="Z21" s="204"/>
    </row>
    <row r="22" spans="1:40" s="31" customFormat="1" ht="124.5" customHeight="1" x14ac:dyDescent="0.2">
      <c r="F22" s="64">
        <f t="shared" si="0"/>
        <v>8</v>
      </c>
      <c r="G22" s="203" t="s">
        <v>51</v>
      </c>
      <c r="H22" s="203"/>
      <c r="I22" s="203"/>
      <c r="J22" s="203"/>
      <c r="K22" s="203"/>
      <c r="L22" s="203"/>
      <c r="M22" s="203"/>
      <c r="N22" s="203"/>
      <c r="O22" s="203"/>
      <c r="P22" s="203"/>
      <c r="Q22" s="203"/>
      <c r="R22" s="203"/>
      <c r="S22" s="204"/>
      <c r="T22" s="204"/>
      <c r="U22" s="204"/>
      <c r="V22" s="204"/>
      <c r="W22" s="204"/>
      <c r="X22" s="204"/>
      <c r="Y22" s="204"/>
      <c r="Z22" s="204"/>
    </row>
    <row r="23" spans="1:40" s="31" customFormat="1" x14ac:dyDescent="0.2">
      <c r="F23" s="32">
        <f t="shared" ref="F23:F25" si="1">ROW(A12)</f>
        <v>12</v>
      </c>
      <c r="G23" s="203" t="s">
        <v>52</v>
      </c>
      <c r="H23" s="203"/>
      <c r="I23" s="203"/>
      <c r="J23" s="203"/>
      <c r="K23" s="203"/>
      <c r="L23" s="203"/>
      <c r="M23" s="203"/>
      <c r="N23" s="203"/>
      <c r="O23" s="203"/>
      <c r="P23" s="203"/>
      <c r="Q23" s="203"/>
      <c r="R23" s="203"/>
      <c r="S23" s="204"/>
      <c r="T23" s="204"/>
      <c r="U23" s="204"/>
      <c r="V23" s="204"/>
      <c r="W23" s="204"/>
      <c r="X23" s="204"/>
      <c r="Y23" s="204"/>
      <c r="Z23" s="204"/>
    </row>
    <row r="24" spans="1:40" s="31" customFormat="1" ht="30.75" customHeight="1" x14ac:dyDescent="0.2">
      <c r="F24" s="32">
        <f t="shared" si="1"/>
        <v>13</v>
      </c>
      <c r="G24" s="203" t="s">
        <v>68</v>
      </c>
      <c r="H24" s="203"/>
      <c r="I24" s="203"/>
      <c r="J24" s="203"/>
      <c r="K24" s="203"/>
      <c r="L24" s="203"/>
      <c r="M24" s="203"/>
      <c r="N24" s="203"/>
      <c r="O24" s="203"/>
      <c r="P24" s="203"/>
      <c r="Q24" s="203"/>
      <c r="R24" s="203"/>
      <c r="S24" s="204"/>
      <c r="T24" s="204"/>
      <c r="U24" s="204"/>
      <c r="V24" s="204"/>
      <c r="W24" s="204"/>
      <c r="X24" s="204"/>
      <c r="Y24" s="204"/>
      <c r="Z24" s="204"/>
      <c r="AN24" s="52"/>
    </row>
    <row r="25" spans="1:40" s="58" customFormat="1" ht="15" customHeight="1" x14ac:dyDescent="0.2">
      <c r="A25" s="31"/>
      <c r="B25" s="31"/>
      <c r="C25" s="31"/>
      <c r="D25" s="31"/>
      <c r="E25" s="31"/>
      <c r="F25" s="62">
        <f t="shared" si="1"/>
        <v>14</v>
      </c>
      <c r="G25" s="188" t="s">
        <v>101</v>
      </c>
      <c r="H25" s="189"/>
      <c r="I25" s="189"/>
      <c r="J25" s="189"/>
      <c r="K25" s="189"/>
      <c r="L25" s="189"/>
      <c r="M25" s="189"/>
      <c r="N25" s="189"/>
      <c r="O25" s="189"/>
      <c r="P25" s="189"/>
      <c r="Q25" s="189"/>
      <c r="R25" s="189"/>
      <c r="S25" s="189"/>
      <c r="T25" s="189"/>
      <c r="U25" s="189"/>
      <c r="V25" s="189"/>
      <c r="W25" s="189"/>
      <c r="X25" s="189"/>
      <c r="Y25" s="189"/>
      <c r="Z25" s="190"/>
      <c r="AM25" s="31"/>
      <c r="AN25" s="52"/>
    </row>
    <row r="26" spans="1:40" s="31" customFormat="1" ht="77.25" customHeight="1" x14ac:dyDescent="0.2">
      <c r="F26" s="32">
        <f t="shared" ref="F26:F33" si="2">ROW(A15)</f>
        <v>15</v>
      </c>
      <c r="G26" s="188" t="s">
        <v>57</v>
      </c>
      <c r="H26" s="189"/>
      <c r="I26" s="189"/>
      <c r="J26" s="189"/>
      <c r="K26" s="189"/>
      <c r="L26" s="189"/>
      <c r="M26" s="189"/>
      <c r="N26" s="189"/>
      <c r="O26" s="189"/>
      <c r="P26" s="189"/>
      <c r="Q26" s="189"/>
      <c r="R26" s="189"/>
      <c r="S26" s="189"/>
      <c r="T26" s="189"/>
      <c r="U26" s="189"/>
      <c r="V26" s="189"/>
      <c r="W26" s="189"/>
      <c r="X26" s="189"/>
      <c r="Y26" s="189"/>
      <c r="Z26" s="190"/>
      <c r="AN26" s="52"/>
    </row>
    <row r="27" spans="1:40" s="31" customFormat="1" x14ac:dyDescent="0.2">
      <c r="F27" s="32">
        <f t="shared" si="2"/>
        <v>16</v>
      </c>
      <c r="G27" s="188" t="s">
        <v>110</v>
      </c>
      <c r="H27" s="189"/>
      <c r="I27" s="189"/>
      <c r="J27" s="189"/>
      <c r="K27" s="189"/>
      <c r="L27" s="189"/>
      <c r="M27" s="189"/>
      <c r="N27" s="189"/>
      <c r="O27" s="189"/>
      <c r="P27" s="189"/>
      <c r="Q27" s="189"/>
      <c r="R27" s="189"/>
      <c r="S27" s="189"/>
      <c r="T27" s="189"/>
      <c r="U27" s="189"/>
      <c r="V27" s="189"/>
      <c r="W27" s="189"/>
      <c r="X27" s="189"/>
      <c r="Y27" s="189"/>
      <c r="Z27" s="190"/>
      <c r="AN27" s="52"/>
    </row>
    <row r="28" spans="1:40" s="31" customFormat="1" x14ac:dyDescent="0.2">
      <c r="F28" s="63">
        <f t="shared" si="2"/>
        <v>17</v>
      </c>
      <c r="G28" s="188" t="s">
        <v>59</v>
      </c>
      <c r="H28" s="189"/>
      <c r="I28" s="189"/>
      <c r="J28" s="189"/>
      <c r="K28" s="189"/>
      <c r="L28" s="189"/>
      <c r="M28" s="189"/>
      <c r="N28" s="189"/>
      <c r="O28" s="189"/>
      <c r="P28" s="189"/>
      <c r="Q28" s="189"/>
      <c r="R28" s="189"/>
      <c r="S28" s="189"/>
      <c r="T28" s="189"/>
      <c r="U28" s="189"/>
      <c r="V28" s="189"/>
      <c r="W28" s="189"/>
      <c r="X28" s="189"/>
      <c r="Y28" s="189"/>
      <c r="Z28" s="190"/>
      <c r="AN28" s="52"/>
    </row>
    <row r="29" spans="1:40" s="31" customFormat="1" ht="32.25" customHeight="1" x14ac:dyDescent="0.2">
      <c r="F29" s="63">
        <f t="shared" si="2"/>
        <v>18</v>
      </c>
      <c r="G29" s="188" t="s">
        <v>79</v>
      </c>
      <c r="H29" s="189"/>
      <c r="I29" s="189"/>
      <c r="J29" s="189"/>
      <c r="K29" s="189"/>
      <c r="L29" s="189"/>
      <c r="M29" s="189"/>
      <c r="N29" s="189"/>
      <c r="O29" s="189"/>
      <c r="P29" s="189"/>
      <c r="Q29" s="189"/>
      <c r="R29" s="189"/>
      <c r="S29" s="189"/>
      <c r="T29" s="189"/>
      <c r="U29" s="189"/>
      <c r="V29" s="189"/>
      <c r="W29" s="189"/>
      <c r="X29" s="189"/>
      <c r="Y29" s="189"/>
      <c r="Z29" s="190"/>
      <c r="AN29" s="52"/>
    </row>
    <row r="30" spans="1:40" s="31" customFormat="1" ht="81.75" customHeight="1" x14ac:dyDescent="0.2">
      <c r="F30" s="64">
        <f t="shared" si="2"/>
        <v>19</v>
      </c>
      <c r="G30" s="188" t="s">
        <v>67</v>
      </c>
      <c r="H30" s="189"/>
      <c r="I30" s="189"/>
      <c r="J30" s="189"/>
      <c r="K30" s="189"/>
      <c r="L30" s="189"/>
      <c r="M30" s="189"/>
      <c r="N30" s="189"/>
      <c r="O30" s="189"/>
      <c r="P30" s="189"/>
      <c r="Q30" s="189"/>
      <c r="R30" s="189"/>
      <c r="S30" s="189"/>
      <c r="T30" s="189"/>
      <c r="U30" s="189"/>
      <c r="V30" s="189"/>
      <c r="W30" s="189"/>
      <c r="X30" s="189"/>
      <c r="Y30" s="189"/>
      <c r="Z30" s="190"/>
      <c r="AN30" s="52"/>
    </row>
    <row r="31" spans="1:40" s="31" customFormat="1" ht="340.5" customHeight="1" x14ac:dyDescent="0.2">
      <c r="E31" s="68"/>
      <c r="F31" s="32">
        <f t="shared" si="2"/>
        <v>20</v>
      </c>
      <c r="G31" s="188" t="s">
        <v>201</v>
      </c>
      <c r="H31" s="189"/>
      <c r="I31" s="189"/>
      <c r="J31" s="189"/>
      <c r="K31" s="189"/>
      <c r="L31" s="189"/>
      <c r="M31" s="189"/>
      <c r="N31" s="189"/>
      <c r="O31" s="189"/>
      <c r="P31" s="189"/>
      <c r="Q31" s="189"/>
      <c r="R31" s="189"/>
      <c r="S31" s="189"/>
      <c r="T31" s="189"/>
      <c r="U31" s="189"/>
      <c r="V31" s="189"/>
      <c r="W31" s="189"/>
      <c r="X31" s="189"/>
      <c r="Y31" s="189"/>
      <c r="Z31" s="190"/>
      <c r="AN31" s="52"/>
    </row>
    <row r="32" spans="1:40" s="31" customFormat="1" ht="32.25" customHeight="1" x14ac:dyDescent="0.2">
      <c r="F32" s="32">
        <f t="shared" si="2"/>
        <v>21</v>
      </c>
      <c r="G32" s="188" t="s">
        <v>93</v>
      </c>
      <c r="H32" s="189"/>
      <c r="I32" s="189"/>
      <c r="J32" s="189"/>
      <c r="K32" s="189"/>
      <c r="L32" s="189"/>
      <c r="M32" s="189"/>
      <c r="N32" s="189"/>
      <c r="O32" s="189"/>
      <c r="P32" s="189"/>
      <c r="Q32" s="189"/>
      <c r="R32" s="189"/>
      <c r="S32" s="189"/>
      <c r="T32" s="189"/>
      <c r="U32" s="189"/>
      <c r="V32" s="189"/>
      <c r="W32" s="189"/>
      <c r="X32" s="189"/>
      <c r="Y32" s="189"/>
      <c r="Z32" s="190"/>
      <c r="AN32" s="52"/>
    </row>
    <row r="33" spans="6:40" s="31" customFormat="1" ht="46.5" customHeight="1" x14ac:dyDescent="0.2">
      <c r="F33" s="63">
        <f t="shared" si="2"/>
        <v>22</v>
      </c>
      <c r="G33" s="188" t="s">
        <v>133</v>
      </c>
      <c r="H33" s="189"/>
      <c r="I33" s="189"/>
      <c r="J33" s="189"/>
      <c r="K33" s="189"/>
      <c r="L33" s="189"/>
      <c r="M33" s="189"/>
      <c r="N33" s="189"/>
      <c r="O33" s="189"/>
      <c r="P33" s="189"/>
      <c r="Q33" s="189"/>
      <c r="R33" s="189"/>
      <c r="S33" s="189"/>
      <c r="T33" s="189"/>
      <c r="U33" s="189"/>
      <c r="V33" s="189"/>
      <c r="W33" s="189"/>
      <c r="X33" s="189"/>
      <c r="Y33" s="189"/>
      <c r="Z33" s="190"/>
      <c r="AN33" s="52"/>
    </row>
    <row r="34" spans="6:40" s="33" customFormat="1" x14ac:dyDescent="0.2">
      <c r="V34" s="34"/>
      <c r="W34" s="34"/>
      <c r="X34" s="34"/>
      <c r="Y34" s="211"/>
      <c r="Z34" s="211"/>
      <c r="AM34" s="31"/>
      <c r="AN34" s="52"/>
    </row>
    <row r="35" spans="6:40" s="33" customFormat="1" x14ac:dyDescent="0.2">
      <c r="V35" s="34"/>
      <c r="W35" s="34"/>
      <c r="X35" s="34"/>
      <c r="Y35" s="211"/>
      <c r="Z35" s="211"/>
      <c r="AM35" s="31"/>
      <c r="AN35" s="52"/>
    </row>
    <row r="36" spans="6:40" s="3" customFormat="1" x14ac:dyDescent="0.2">
      <c r="V36" s="4"/>
      <c r="W36" s="4"/>
      <c r="X36" s="4"/>
      <c r="Y36" s="212"/>
      <c r="Z36" s="212"/>
      <c r="AM36" s="31"/>
      <c r="AN36" s="52"/>
    </row>
    <row r="37" spans="6:40" s="3" customFormat="1" x14ac:dyDescent="0.2">
      <c r="V37" s="4"/>
      <c r="W37" s="4"/>
      <c r="X37" s="4"/>
      <c r="Y37" s="212"/>
      <c r="Z37" s="212"/>
      <c r="AM37" s="31"/>
      <c r="AN37" s="52"/>
    </row>
    <row r="38" spans="6:40" s="3" customFormat="1" x14ac:dyDescent="0.2">
      <c r="V38" s="4"/>
      <c r="W38" s="4"/>
      <c r="X38" s="4"/>
      <c r="Y38" s="212"/>
      <c r="Z38" s="212"/>
      <c r="AM38" s="31"/>
      <c r="AN38" s="52"/>
    </row>
    <row r="39" spans="6:40" s="3" customFormat="1" x14ac:dyDescent="0.2">
      <c r="V39" s="4"/>
      <c r="W39" s="4"/>
      <c r="X39" s="4"/>
      <c r="Y39" s="212"/>
      <c r="Z39" s="212"/>
      <c r="AM39" s="33"/>
      <c r="AN39" s="52"/>
    </row>
    <row r="40" spans="6:40" s="3" customFormat="1" x14ac:dyDescent="0.2">
      <c r="V40" s="4"/>
      <c r="W40" s="4"/>
      <c r="X40" s="4"/>
      <c r="Y40" s="212"/>
      <c r="Z40" s="212"/>
      <c r="AM40" s="33"/>
      <c r="AN40" s="52"/>
    </row>
    <row r="41" spans="6:40" s="3" customFormat="1" x14ac:dyDescent="0.2">
      <c r="V41" s="4"/>
      <c r="W41" s="4"/>
      <c r="X41" s="4"/>
      <c r="Y41" s="212"/>
      <c r="Z41" s="212"/>
      <c r="AM41" s="33"/>
      <c r="AN41" s="52"/>
    </row>
    <row r="42" spans="6:40" s="3" customFormat="1" x14ac:dyDescent="0.2">
      <c r="V42" s="4"/>
      <c r="W42" s="4"/>
      <c r="X42" s="4"/>
      <c r="Y42" s="212"/>
      <c r="Z42" s="212"/>
      <c r="AM42" s="33"/>
      <c r="AN42" s="52"/>
    </row>
    <row r="43" spans="6:40" s="3" customFormat="1" x14ac:dyDescent="0.2">
      <c r="V43" s="4"/>
      <c r="W43" s="4"/>
      <c r="X43" s="4"/>
      <c r="Y43" s="212"/>
      <c r="Z43" s="212"/>
      <c r="AM43" s="33"/>
      <c r="AN43" s="52"/>
    </row>
    <row r="44" spans="6:40" s="3" customFormat="1" x14ac:dyDescent="0.2">
      <c r="V44" s="4"/>
      <c r="W44" s="4"/>
      <c r="X44" s="4"/>
      <c r="Y44" s="212"/>
      <c r="Z44" s="212"/>
      <c r="AM44" s="33"/>
      <c r="AN44" s="52"/>
    </row>
    <row r="45" spans="6:40" s="3" customFormat="1" x14ac:dyDescent="0.2">
      <c r="V45" s="4"/>
      <c r="W45" s="4"/>
      <c r="X45" s="4"/>
      <c r="Y45" s="212"/>
      <c r="Z45" s="212"/>
      <c r="AM45" s="33"/>
      <c r="AN45" s="52"/>
    </row>
    <row r="46" spans="6:40" s="3" customFormat="1" x14ac:dyDescent="0.2">
      <c r="V46" s="4"/>
      <c r="W46" s="4"/>
      <c r="X46" s="4"/>
      <c r="Y46" s="212"/>
      <c r="Z46" s="212"/>
      <c r="AM46" s="33"/>
      <c r="AN46" s="52"/>
    </row>
    <row r="47" spans="6:40" s="3" customFormat="1" x14ac:dyDescent="0.2">
      <c r="V47" s="4"/>
      <c r="W47" s="4"/>
      <c r="X47" s="4"/>
      <c r="Y47" s="212"/>
      <c r="Z47" s="212"/>
      <c r="AN47" s="52"/>
    </row>
    <row r="48" spans="6:40" s="3" customFormat="1" x14ac:dyDescent="0.2">
      <c r="V48" s="4"/>
      <c r="W48" s="4"/>
      <c r="X48" s="4"/>
      <c r="Y48" s="212"/>
      <c r="Z48" s="212"/>
      <c r="AN48" s="52"/>
    </row>
    <row r="49" spans="22:40" s="3" customFormat="1" x14ac:dyDescent="0.2">
      <c r="V49" s="4"/>
      <c r="W49" s="4"/>
      <c r="X49" s="4"/>
      <c r="Y49" s="212"/>
      <c r="Z49" s="212"/>
      <c r="AN49" s="52"/>
    </row>
    <row r="50" spans="22:40" x14ac:dyDescent="0.2">
      <c r="AM50" s="3"/>
      <c r="AN50" s="52"/>
    </row>
    <row r="51" spans="22:40" x14ac:dyDescent="0.2">
      <c r="AM51" s="3"/>
      <c r="AN51" s="52"/>
    </row>
    <row r="52" spans="22:40" x14ac:dyDescent="0.2">
      <c r="AM52" s="3"/>
      <c r="AN52" s="52"/>
    </row>
    <row r="53" spans="22:40" x14ac:dyDescent="0.2">
      <c r="AM53" s="3"/>
      <c r="AN53" s="52"/>
    </row>
    <row r="54" spans="22:40" x14ac:dyDescent="0.2">
      <c r="AM54" s="3"/>
      <c r="AN54" s="52"/>
    </row>
  </sheetData>
  <mergeCells count="58">
    <mergeCell ref="AN7:AN8"/>
    <mergeCell ref="AM7:AM8"/>
    <mergeCell ref="G32:Z32"/>
    <mergeCell ref="G20:Z20"/>
    <mergeCell ref="G21:Z21"/>
    <mergeCell ref="G19:Z19"/>
    <mergeCell ref="G29:Z29"/>
    <mergeCell ref="G30:Z30"/>
    <mergeCell ref="G31:Z31"/>
    <mergeCell ref="G33:Z33"/>
    <mergeCell ref="G25:Z25"/>
    <mergeCell ref="G22:Z22"/>
    <mergeCell ref="G23:Z23"/>
    <mergeCell ref="G24:Z24"/>
    <mergeCell ref="G28:Z28"/>
    <mergeCell ref="G27:Z27"/>
    <mergeCell ref="G26:Z26"/>
    <mergeCell ref="Y41:Z41"/>
    <mergeCell ref="Y34:Z34"/>
    <mergeCell ref="Y35:Z35"/>
    <mergeCell ref="Y36:Z36"/>
    <mergeCell ref="Y37:Z37"/>
    <mergeCell ref="Y38:Z38"/>
    <mergeCell ref="Y40:Z40"/>
    <mergeCell ref="Y39:Z39"/>
    <mergeCell ref="Y48:Z48"/>
    <mergeCell ref="Y49:Z49"/>
    <mergeCell ref="Y42:Z42"/>
    <mergeCell ref="Y43:Z43"/>
    <mergeCell ref="Y44:Z44"/>
    <mergeCell ref="Y45:Z45"/>
    <mergeCell ref="Y46:Z46"/>
    <mergeCell ref="Y47:Z47"/>
    <mergeCell ref="A7:B7"/>
    <mergeCell ref="F7:F8"/>
    <mergeCell ref="G15:Z15"/>
    <mergeCell ref="G17:Z17"/>
    <mergeCell ref="V7:V8"/>
    <mergeCell ref="U7:U8"/>
    <mergeCell ref="S7:T7"/>
    <mergeCell ref="R7:R8"/>
    <mergeCell ref="M7:M8"/>
    <mergeCell ref="N7:Q7"/>
    <mergeCell ref="I7:I8"/>
    <mergeCell ref="C7:E7"/>
    <mergeCell ref="K1:S1"/>
    <mergeCell ref="AJ7:AL7"/>
    <mergeCell ref="G18:Z18"/>
    <mergeCell ref="AH7:AI7"/>
    <mergeCell ref="G16:Z16"/>
    <mergeCell ref="AE7:AG7"/>
    <mergeCell ref="W7:Y7"/>
    <mergeCell ref="Z7:Z8"/>
    <mergeCell ref="G7:H7"/>
    <mergeCell ref="J7:J8"/>
    <mergeCell ref="K7:K8"/>
    <mergeCell ref="L7:L8"/>
    <mergeCell ref="AA7:AD7"/>
  </mergeCells>
  <pageMargins left="0.70866141732283472" right="0.70866141732283472" top="0.74803149606299213" bottom="0.74803149606299213" header="0.31496062992125984" footer="0.31496062992125984"/>
  <pageSetup paperSize="8" scale="52"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EXPEDIDAS_INGRESOS</vt:lpstr>
      <vt:lpstr>RECIBIDAS_GASTOS</vt:lpstr>
      <vt:lpstr>BIENES-INVERSIÓN</vt:lpstr>
      <vt:lpstr>'BIENES-INVERSIÓN'!Área_de_impresión</vt:lpstr>
      <vt:lpstr>EXPEDIDAS_INGRESOS!Área_de_impresión</vt:lpstr>
      <vt:lpstr>RECIBIDAS_GASTOS!Área_de_impresión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Microsoft Office User</cp:lastModifiedBy>
  <cp:lastPrinted>2019-09-09T11:01:38Z</cp:lastPrinted>
  <dcterms:created xsi:type="dcterms:W3CDTF">2018-11-07T08:58:17Z</dcterms:created>
  <dcterms:modified xsi:type="dcterms:W3CDTF">2025-04-03T15:52:38Z</dcterms:modified>
  <cp:contentStatus/>
</cp:coreProperties>
</file>